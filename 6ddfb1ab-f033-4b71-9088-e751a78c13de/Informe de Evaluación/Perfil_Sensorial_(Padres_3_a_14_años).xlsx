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Atenciones privadas Usuarios\5. 10.00 Leon Escare\"/>
    </mc:Choice>
  </mc:AlternateContent>
  <xr:revisionPtr revIDLastSave="0" documentId="13_ncr:1_{0589CF4C-2EDE-4821-AD49-903D8D4B97E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 RESUMEN" sheetId="1" r:id="rId1"/>
    <sheet name="PUNTAJES" sheetId="2" r:id="rId2"/>
    <sheet name="RESUMEN POR CUADRAN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3" l="1"/>
  <c r="B8" i="1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R4" i="2"/>
  <c r="R5" i="2" s="1"/>
  <c r="C24" i="1" s="1"/>
  <c r="Q4" i="2"/>
  <c r="Q5" i="2" s="1"/>
  <c r="C23" i="1" s="1"/>
  <c r="P4" i="2"/>
  <c r="P5" i="2" s="1"/>
  <c r="C22" i="1" s="1"/>
  <c r="O4" i="2"/>
  <c r="O5" i="2" s="1"/>
  <c r="C21" i="1" s="1"/>
  <c r="N4" i="2"/>
  <c r="N5" i="2" s="1"/>
  <c r="C20" i="1" s="1"/>
  <c r="M4" i="2"/>
  <c r="M5" i="2" s="1"/>
  <c r="C19" i="1" s="1"/>
  <c r="L4" i="2"/>
  <c r="L5" i="2" s="1"/>
  <c r="C18" i="1" s="1"/>
  <c r="K4" i="2"/>
  <c r="K5" i="2" s="1"/>
  <c r="C17" i="1" s="1"/>
  <c r="J4" i="2"/>
  <c r="J5" i="2" s="1"/>
  <c r="C16" i="1" s="1"/>
  <c r="I4" i="2"/>
  <c r="I5" i="2" s="1"/>
  <c r="H4" i="2"/>
  <c r="H5" i="2" s="1"/>
  <c r="C14" i="1" s="1"/>
  <c r="G4" i="2"/>
  <c r="G5" i="2" s="1"/>
  <c r="C13" i="1" s="1"/>
  <c r="F4" i="2"/>
  <c r="F5" i="2" s="1"/>
  <c r="C12" i="1" s="1"/>
  <c r="C15" i="1" l="1"/>
</calcChain>
</file>

<file path=xl/sharedStrings.xml><?xml version="1.0" encoding="utf-8"?>
<sst xmlns="http://schemas.openxmlformats.org/spreadsheetml/2006/main" count="288" uniqueCount="150">
  <si>
    <t>CHILD SENSORY PROFILE 2</t>
  </si>
  <si>
    <t>Padres 3 a 14 años</t>
  </si>
  <si>
    <t>Nombre evaluado(a)</t>
  </si>
  <si>
    <t>Fecha de nacimiento</t>
  </si>
  <si>
    <t>Formato (31-12-2024)</t>
  </si>
  <si>
    <t>Fecha de la evaluación</t>
  </si>
  <si>
    <t>Edad cronológica</t>
  </si>
  <si>
    <t>¿Prematuro? Si/No</t>
  </si>
  <si>
    <t>NO</t>
  </si>
  <si>
    <t>Cuadrantes</t>
  </si>
  <si>
    <t>Buscador</t>
  </si>
  <si>
    <t>Evitador</t>
  </si>
  <si>
    <t>Sensibilidad</t>
  </si>
  <si>
    <t>Registro</t>
  </si>
  <si>
    <t>Secciones Sensoriales</t>
  </si>
  <si>
    <t>Audición</t>
  </si>
  <si>
    <t>Visual</t>
  </si>
  <si>
    <t>Tácto</t>
  </si>
  <si>
    <t>Movimiento</t>
  </si>
  <si>
    <t>Posición corporal</t>
  </si>
  <si>
    <t>Oral</t>
  </si>
  <si>
    <t>Secciones Conductuales</t>
  </si>
  <si>
    <t>Conducta</t>
  </si>
  <si>
    <t>Socioemocional</t>
  </si>
  <si>
    <t>Atencional</t>
  </si>
  <si>
    <t>Material complementario para la corrección de puntaje y apoyo al análisis de la pauta Perfil Sensorial</t>
  </si>
  <si>
    <t>Autoría: TO. MG. Maria Francisca Rauch Gajardo</t>
  </si>
  <si>
    <t>AREA</t>
  </si>
  <si>
    <t>ITEM</t>
  </si>
  <si>
    <t>PUNTAJE</t>
  </si>
  <si>
    <t>PROCESAMIENTO AUDITIVO</t>
  </si>
  <si>
    <t>Tacto</t>
  </si>
  <si>
    <t>Valor</t>
  </si>
  <si>
    <t>Etiqueta</t>
  </si>
  <si>
    <t>Puntaje Obtenido</t>
  </si>
  <si>
    <t>Mucho menos que los demás</t>
  </si>
  <si>
    <t>Resultado en curva normal</t>
  </si>
  <si>
    <t>Menos que los demás</t>
  </si>
  <si>
    <t>Justo como la mayoría de los demás</t>
  </si>
  <si>
    <t>Más que la mayoría de los demás</t>
  </si>
  <si>
    <t>Mucho más que la mayoría de los demás</t>
  </si>
  <si>
    <t>VISUAL</t>
  </si>
  <si>
    <t>TÁCTIL</t>
  </si>
  <si>
    <t>MOVIMIENTO</t>
  </si>
  <si>
    <t>Posición del cuerpo</t>
  </si>
  <si>
    <t>POSICION DEL 
CUERPO</t>
  </si>
  <si>
    <t>SENSORIAL ORAL</t>
  </si>
  <si>
    <t>**</t>
  </si>
  <si>
    <t xml:space="preserve">CONDUCTA </t>
  </si>
  <si>
    <t>RESPUESTAS EMOCIONALES / SOCIALES</t>
  </si>
  <si>
    <t>ATENCIÓN</t>
  </si>
  <si>
    <t>BUSCADOR</t>
  </si>
  <si>
    <t>n°</t>
  </si>
  <si>
    <t>ÁREA</t>
  </si>
  <si>
    <t>Descripción</t>
  </si>
  <si>
    <t>Procesamiento Visual</t>
  </si>
  <si>
    <t>Observa a las personas mientras se mueven alrededor de la habitación</t>
  </si>
  <si>
    <t>Procesamiento Táctil</t>
  </si>
  <si>
    <t>Toca personas y objetos al grado de molestar a otras personas</t>
  </si>
  <si>
    <t>Muestra necesidad de tocar juguetes, superficies o texturas (por ejemplo, quiere experimental la sensación de todo)</t>
  </si>
  <si>
    <t xml:space="preserve">Toca personas y objetos más que otros niños/as de su misma edad </t>
  </si>
  <si>
    <t>Procesamiento de Movimiento</t>
  </si>
  <si>
    <t>Procura estar en movimiento hasta el grado que llega a interferir con sus actividades diarias (no quedarse quieto, no quedarse sentado sin moverse)</t>
  </si>
  <si>
    <t>Se mece sentado(a) en una silla, en el piso o estando de pie</t>
  </si>
  <si>
    <t>Se emociona cuando realiza tareas que implican movimiento</t>
  </si>
  <si>
    <t>Toma riesgos al trepar/escalar o hacer movimiento que no son seguros</t>
  </si>
  <si>
    <t>Busca oportunidades de caerse, sin considerar su propia seguridad (por ejemplo, se cae a propósito)</t>
  </si>
  <si>
    <t>Procesamiento de Posición del cuerpo</t>
  </si>
  <si>
    <t>Se estira echándose sobre muebles o encima de la gente</t>
  </si>
  <si>
    <t>Procesamiento Sensorial Oral</t>
  </si>
  <si>
    <t>Huele objetos que no son comida</t>
  </si>
  <si>
    <t>Muestra una fuerte preferencia hacia ciertos sabores</t>
  </si>
  <si>
    <t>Se le antojan ciertos alimentos, sabores u olores</t>
  </si>
  <si>
    <t>Se mete objetos a la boca (Por ejemplo, lápiz, las manos)</t>
  </si>
  <si>
    <t>Conducta asociada con el procesamiento sensorial</t>
  </si>
  <si>
    <t>Toma riesgos excesivos comprometiendo su propia seguridad (por ejemplo, se trepa de un árbol alto, brinca en muebles altos)</t>
  </si>
  <si>
    <t>Parece ser más activo(a) que otros niños/as de su misma edad.</t>
  </si>
  <si>
    <t>Parece disfrutar las caídas</t>
  </si>
  <si>
    <t>Respuestas de Atención asociadas con el procesamiento sensorial</t>
  </si>
  <si>
    <t>Observa a todas las personas que se mueven alrededor de la habitación</t>
  </si>
  <si>
    <t>Brinca de una cosa a otra, a tal grado que interfiere con las actividades</t>
  </si>
  <si>
    <t>EVITADOR</t>
  </si>
  <si>
    <t>Procesamiento auditivo</t>
  </si>
  <si>
    <t>Reacciona fuertemente a sonidos inesperados o altos (por ejemplo, sirenas, perros ladrando, secadora de pelo)</t>
  </si>
  <si>
    <t>Se cubre los oídos con las manos para protegerlos de sonidos</t>
  </si>
  <si>
    <t>Se vuelve improductivo(a) con el ruido de fondo (por ejemplo, ventilador, refrigerador)</t>
  </si>
  <si>
    <t>Procesamiento visual</t>
  </si>
  <si>
    <t>Le molestan las luces brillantes (por ejemplo, se esconde de la luz del sol que entra por la ventana del automóvil)</t>
  </si>
  <si>
    <t>Muestra una reacción emocional o agresiva cuando alguien lo(a) toca</t>
  </si>
  <si>
    <t>Puede ser terco(a)/Necio(a) y poco cooperativo(a)</t>
  </si>
  <si>
    <t>Hace berrinches</t>
  </si>
  <si>
    <t>Se resiste al contacto visual mío o de los demás</t>
  </si>
  <si>
    <t>Respuestas emocionales/sociales asociadas al procesamiento sensorial</t>
  </si>
  <si>
    <t>Requiere de apoyo positivo para responder a situaciones desafiantes</t>
  </si>
  <si>
    <t>Es sensible a las críticas</t>
  </si>
  <si>
    <t>Tiene miedos predecibles y definidos</t>
  </si>
  <si>
    <t>Manifiesta sentirse como un fracaso</t>
  </si>
  <si>
    <t>Es muy serio(a)</t>
  </si>
  <si>
    <t>Tiene fuertes arrebatos emocionales cuando no puede completar una tarea</t>
  </si>
  <si>
    <t>Se frustra fácilmente</t>
  </si>
  <si>
    <t>Tiene temores que interfieren con la rutina cotidiana</t>
  </si>
  <si>
    <t>Se angustia cuando hay cambios en los planes, rutinas o expectativas</t>
  </si>
  <si>
    <t>Interactúa o participar en grupos menos que otros niños(as) de su misma edad</t>
  </si>
  <si>
    <t>Tiene dificultades con las amistades (Por ejemplo, hacer, retener amigos)</t>
  </si>
  <si>
    <t>Mira fijamente a las personas</t>
  </si>
  <si>
    <t>SENSIBILIDAD</t>
  </si>
  <si>
    <t>Le cuesta trabajo completar las tareas cuando hay música o la televisión está prendida</t>
  </si>
  <si>
    <t>Se distrae cuando hay mucho ruido a su alrededor</t>
  </si>
  <si>
    <t>Parece ignorarme o no escuchar lo que estoy diciendo</t>
  </si>
  <si>
    <t>Parece no oír cuando lo(a) llamo por su nombre (A pesar de que puede oír bien)</t>
  </si>
  <si>
    <t>Prefiere jugar o trabajar con poca iluminación</t>
  </si>
  <si>
    <t>Le molestan las luces brillantes más que a otros niños(as) de su misma edad.</t>
  </si>
  <si>
    <t>Muestra angustia cuando le arreglan (por ejemplo, pelea o llora cuando le cortan el pelo, le lavan la cara, le cortan las uñas)</t>
  </si>
  <si>
    <t>Se pone ansioso(a) al estar de pie cerca de otros (Por ejemplo, esperar la fila)</t>
  </si>
  <si>
    <t>Se frota o rasca la parte del cuerpo donde le han tocado</t>
  </si>
  <si>
    <t>Procesamiento sensorial Oral</t>
  </si>
  <si>
    <t>Rechaza ciertos sabores u olores de comida que forman parte de la fiesta típica infantil</t>
  </si>
  <si>
    <t>Solo come ciertos sabores (Por ejemplo dulce, salado)</t>
  </si>
  <si>
    <t>Se limita  así mismo(a) a solo ciertas texturas de comida</t>
  </si>
  <si>
    <t>Es particular o exigente para comer, especialmente en lo que se refiere a la textura de la comida</t>
  </si>
  <si>
    <t>Se muerde la lengua o los labios, más que otros niños(as) de su misma edad</t>
  </si>
  <si>
    <t>Le cuesta trabajo interpretar el lenguaje corporal o las expresiones faciales</t>
  </si>
  <si>
    <t>Necesita más protección de la vida que otros niños(as) de su misma edad (por ejemplo, es indefenso(a) física o emocionalmente)</t>
  </si>
  <si>
    <t>Tiene dificultad para poner atención</t>
  </si>
  <si>
    <t>Aparta la vista de sus tareas para observar todas las actividades en la habitación</t>
  </si>
  <si>
    <t>Se pierde fácilmente</t>
  </si>
  <si>
    <t>REGISTRO</t>
  </si>
  <si>
    <t>Disfruta de ruidos extraños o hace ruido(s) solo por diversión</t>
  </si>
  <si>
    <t>Necesita ayuda para encontrar objetos que son evidentes para otras personas</t>
  </si>
  <si>
    <t>Parece no darse cuenta del dolor</t>
  </si>
  <si>
    <t>Parece no darse cuenta de los cambios de temperatura</t>
  </si>
  <si>
    <t>Parece no estar consciente de tener la cara o las manos sucias</t>
  </si>
  <si>
    <t>Cuando camina en terrenos desnivelados, pierde el equilibrio inesperadamente</t>
  </si>
  <si>
    <t>Choca con las cosas, sin darse cuenta de los objetos o personas que están en su camino</t>
  </si>
  <si>
    <t>Se mueve de manera rígida</t>
  </si>
  <si>
    <t>Se cansa fácilmente, especialmente cuando está e pie o sosteniendo el cuerpo en una posición</t>
  </si>
  <si>
    <t>Parece tener músculos débiles</t>
  </si>
  <si>
    <t>Necesita apoyo para soportarse a sí mismo(a) (por ejemplo, sostiene la cabeza con sus manos, se recarga en la pared)</t>
  </si>
  <si>
    <t>Se aferra a objetos, paredes o barandillas más que otros niños/as de la misma edad</t>
  </si>
  <si>
    <t>Hace ruido al caminar como si le pesaran los pies</t>
  </si>
  <si>
    <t>Parece ser propenso(a) a los accidentes</t>
  </si>
  <si>
    <t>Se apresura cuando pinta, escribe o dibuja</t>
  </si>
  <si>
    <t>Hace las cosas más difíciles de los que es necesario (Por ejemplo, desperdicia el tiempo, se mueve con lentitud)</t>
  </si>
  <si>
    <t>Parece tener una baja autoestima (por ejemplo, dificultad para sentirse bien consigo mismo[a])</t>
  </si>
  <si>
    <t>Tiene muy poco contacto visual conmigo durante nuestras interacciones diarias</t>
  </si>
  <si>
    <t>Parece no estar consciente de un ambiente activo (por ejemplo, no se da cuenta de las actividades que ocurren)</t>
  </si>
  <si>
    <t>Mira fijamente a los objetos</t>
  </si>
  <si>
    <t>Le cuesta trabajo encontrar cosas en situaciones que complican el problema (por ejemplo, zapatos en un cuarto desordenado, lápiz en cajón lleno de trastos o trebejos)</t>
  </si>
  <si>
    <t>Parece no darse cuenta cuando las personas entran a la habitación</t>
  </si>
  <si>
    <t>León Escare Pinilla 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</si>
</sst>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EFFFFD"/>
        <bgColor indexed="64"/>
      </patternFill>
    </fill>
    <fill>
      <patternFill patternType="solid">
        <fgColor rgb="FFFBFFE7"/>
        <bgColor indexed="64"/>
      </patternFill>
    </fill>
    <fill>
      <patternFill patternType="solid">
        <fgColor rgb="FFE1FFE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9FFE1"/>
        <bgColor indexed="64"/>
      </patternFill>
    </fill>
    <fill>
      <patternFill patternType="solid">
        <fgColor rgb="FFE2E1FF"/>
        <bgColor indexed="64"/>
      </patternFill>
    </fill>
    <fill>
      <patternFill patternType="solid">
        <fgColor rgb="FFF6EBE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5" borderId="6" xfId="0" applyFill="1" applyBorder="1"/>
    <xf numFmtId="0" fontId="0" fillId="5" borderId="22" xfId="0" applyFill="1" applyBorder="1" applyAlignment="1">
      <alignment wrapText="1"/>
    </xf>
    <xf numFmtId="0" fontId="0" fillId="6" borderId="30" xfId="0" applyFill="1" applyBorder="1" applyAlignment="1">
      <alignment wrapText="1"/>
    </xf>
    <xf numFmtId="0" fontId="0" fillId="3" borderId="23" xfId="0" applyFill="1" applyBorder="1"/>
    <xf numFmtId="0" fontId="0" fillId="3" borderId="29" xfId="0" applyFill="1" applyBorder="1"/>
    <xf numFmtId="0" fontId="0" fillId="6" borderId="4" xfId="0" applyFill="1" applyBorder="1"/>
    <xf numFmtId="0" fontId="0" fillId="7" borderId="4" xfId="0" applyFill="1" applyBorder="1"/>
    <xf numFmtId="0" fontId="0" fillId="7" borderId="30" xfId="0" applyFill="1" applyBorder="1" applyAlignment="1">
      <alignment wrapText="1"/>
    </xf>
    <xf numFmtId="0" fontId="0" fillId="8" borderId="4" xfId="0" applyFill="1" applyBorder="1"/>
    <xf numFmtId="0" fontId="0" fillId="8" borderId="30" xfId="0" applyFill="1" applyBorder="1" applyAlignment="1">
      <alignment wrapText="1"/>
    </xf>
    <xf numFmtId="0" fontId="0" fillId="9" borderId="4" xfId="0" applyFill="1" applyBorder="1"/>
    <xf numFmtId="0" fontId="0" fillId="9" borderId="30" xfId="0" applyFill="1" applyBorder="1" applyAlignment="1">
      <alignment wrapText="1"/>
    </xf>
    <xf numFmtId="0" fontId="0" fillId="10" borderId="4" xfId="0" applyFill="1" applyBorder="1"/>
    <xf numFmtId="0" fontId="0" fillId="11" borderId="4" xfId="0" applyFill="1" applyBorder="1"/>
    <xf numFmtId="0" fontId="0" fillId="11" borderId="30" xfId="0" applyFill="1" applyBorder="1" applyAlignment="1">
      <alignment wrapText="1"/>
    </xf>
    <xf numFmtId="0" fontId="0" fillId="12" borderId="4" xfId="0" applyFill="1" applyBorder="1"/>
    <xf numFmtId="0" fontId="0" fillId="12" borderId="30" xfId="0" applyFill="1" applyBorder="1" applyAlignment="1">
      <alignment wrapText="1"/>
    </xf>
    <xf numFmtId="0" fontId="0" fillId="12" borderId="7" xfId="0" applyFill="1" applyBorder="1"/>
    <xf numFmtId="0" fontId="0" fillId="12" borderId="31" xfId="0" applyFill="1" applyBorder="1" applyAlignment="1">
      <alignment wrapText="1"/>
    </xf>
    <xf numFmtId="0" fontId="0" fillId="5" borderId="4" xfId="0" applyFill="1" applyBorder="1"/>
    <xf numFmtId="0" fontId="0" fillId="5" borderId="6" xfId="0" applyFill="1" applyBorder="1" applyAlignment="1">
      <alignment wrapText="1"/>
    </xf>
    <xf numFmtId="0" fontId="0" fillId="11" borderId="32" xfId="0" applyFill="1" applyBorder="1"/>
    <xf numFmtId="0" fontId="0" fillId="8" borderId="28" xfId="0" applyFill="1" applyBorder="1"/>
    <xf numFmtId="0" fontId="0" fillId="0" borderId="28" xfId="0" applyBorder="1"/>
    <xf numFmtId="0" fontId="0" fillId="3" borderId="10" xfId="0" applyFill="1" applyBorder="1"/>
    <xf numFmtId="0" fontId="0" fillId="5" borderId="32" xfId="0" applyFill="1" applyBorder="1"/>
    <xf numFmtId="0" fontId="0" fillId="6" borderId="32" xfId="0" applyFill="1" applyBorder="1"/>
    <xf numFmtId="0" fontId="0" fillId="8" borderId="32" xfId="0" applyFill="1" applyBorder="1"/>
    <xf numFmtId="0" fontId="0" fillId="11" borderId="7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11" borderId="4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8" borderId="28" xfId="0" applyFill="1" applyBorder="1" applyAlignment="1">
      <alignment wrapText="1"/>
    </xf>
    <xf numFmtId="0" fontId="0" fillId="5" borderId="3" xfId="0" applyFill="1" applyBorder="1"/>
    <xf numFmtId="0" fontId="0" fillId="11" borderId="7" xfId="0" applyFill="1" applyBorder="1"/>
    <xf numFmtId="0" fontId="0" fillId="8" borderId="33" xfId="0" applyFill="1" applyBorder="1" applyAlignment="1">
      <alignment wrapText="1"/>
    </xf>
    <xf numFmtId="0" fontId="0" fillId="5" borderId="24" xfId="0" applyFill="1" applyBorder="1"/>
    <xf numFmtId="0" fontId="0" fillId="5" borderId="25" xfId="0" applyFill="1" applyBorder="1" applyAlignment="1">
      <alignment wrapText="1"/>
    </xf>
    <xf numFmtId="0" fontId="0" fillId="5" borderId="33" xfId="0" applyFill="1" applyBorder="1" applyAlignment="1">
      <alignment wrapText="1"/>
    </xf>
    <xf numFmtId="0" fontId="0" fillId="6" borderId="33" xfId="0" applyFill="1" applyBorder="1" applyAlignment="1">
      <alignment wrapText="1"/>
    </xf>
    <xf numFmtId="0" fontId="0" fillId="11" borderId="33" xfId="0" applyFill="1" applyBorder="1" applyAlignment="1">
      <alignment wrapText="1"/>
    </xf>
    <xf numFmtId="0" fontId="0" fillId="8" borderId="36" xfId="0" applyFill="1" applyBorder="1" applyAlignment="1">
      <alignment wrapText="1"/>
    </xf>
    <xf numFmtId="0" fontId="0" fillId="6" borderId="34" xfId="0" applyFill="1" applyBorder="1"/>
    <xf numFmtId="0" fontId="0" fillId="6" borderId="35" xfId="0" applyFill="1" applyBorder="1" applyAlignment="1">
      <alignment wrapText="1"/>
    </xf>
    <xf numFmtId="0" fontId="0" fillId="9" borderId="32" xfId="0" applyFill="1" applyBorder="1"/>
    <xf numFmtId="0" fontId="0" fillId="9" borderId="33" xfId="0" applyFill="1" applyBorder="1" applyAlignment="1">
      <alignment wrapText="1"/>
    </xf>
    <xf numFmtId="0" fontId="0" fillId="10" borderId="32" xfId="0" applyFill="1" applyBorder="1"/>
    <xf numFmtId="0" fontId="0" fillId="10" borderId="36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7" borderId="7" xfId="0" applyFill="1" applyBorder="1"/>
    <xf numFmtId="0" fontId="0" fillId="12" borderId="4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5" fillId="0" borderId="0" xfId="0" applyFont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4" fontId="0" fillId="2" borderId="1" xfId="0" applyNumberFormat="1" applyFill="1" applyBorder="1" applyProtection="1">
      <protection locked="0"/>
    </xf>
    <xf numFmtId="0" fontId="1" fillId="0" borderId="1" xfId="0" applyFont="1" applyBorder="1"/>
    <xf numFmtId="0" fontId="0" fillId="0" borderId="2" xfId="0" applyBorder="1"/>
    <xf numFmtId="0" fontId="0" fillId="3" borderId="15" xfId="0" applyFill="1" applyBorder="1"/>
    <xf numFmtId="0" fontId="0" fillId="3" borderId="2" xfId="0" applyFill="1" applyBorder="1"/>
    <xf numFmtId="0" fontId="0" fillId="3" borderId="16" xfId="0" applyFill="1" applyBorder="1"/>
    <xf numFmtId="0" fontId="0" fillId="3" borderId="2" xfId="0" applyFill="1" applyBorder="1" applyAlignment="1">
      <alignment wrapText="1"/>
    </xf>
    <xf numFmtId="0" fontId="0" fillId="3" borderId="11" xfId="0" applyFill="1" applyBorder="1"/>
    <xf numFmtId="0" fontId="0" fillId="3" borderId="17" xfId="0" applyFill="1" applyBorder="1"/>
    <xf numFmtId="0" fontId="0" fillId="3" borderId="17" xfId="0" applyFill="1" applyBorder="1" applyAlignment="1">
      <alignment wrapText="1"/>
    </xf>
    <xf numFmtId="0" fontId="0" fillId="3" borderId="18" xfId="0" applyFill="1" applyBorder="1"/>
    <xf numFmtId="0" fontId="0" fillId="4" borderId="14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19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1" xfId="0" applyBorder="1" applyAlignment="1">
      <alignment wrapText="1"/>
    </xf>
    <xf numFmtId="0" fontId="0" fillId="3" borderId="8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" xfId="0" applyBorder="1"/>
    <xf numFmtId="0" fontId="0" fillId="3" borderId="8" xfId="0" applyFill="1" applyBorder="1"/>
    <xf numFmtId="0" fontId="0" fillId="0" borderId="0" xfId="0" applyAlignment="1">
      <alignment wrapText="1"/>
    </xf>
    <xf numFmtId="0" fontId="0" fillId="3" borderId="23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7" borderId="28" xfId="0" applyFill="1" applyBorder="1" applyAlignment="1">
      <alignment wrapText="1"/>
    </xf>
    <xf numFmtId="0" fontId="3" fillId="0" borderId="1" xfId="0" applyFont="1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 textRotation="255" wrapText="1"/>
    </xf>
    <xf numFmtId="0" fontId="0" fillId="0" borderId="4" xfId="0" applyBorder="1" applyAlignment="1">
      <alignment horizontal="center" vertical="center" textRotation="255" wrapText="1"/>
    </xf>
    <xf numFmtId="0" fontId="0" fillId="0" borderId="7" xfId="0" applyBorder="1" applyAlignment="1">
      <alignment horizontal="center" vertical="center" textRotation="255" wrapText="1"/>
    </xf>
    <xf numFmtId="0" fontId="0" fillId="0" borderId="3" xfId="0" applyBorder="1" applyAlignment="1">
      <alignment horizontal="center" textRotation="255"/>
    </xf>
    <xf numFmtId="0" fontId="0" fillId="0" borderId="4" xfId="0" applyBorder="1" applyAlignment="1">
      <alignment horizontal="center" textRotation="255"/>
    </xf>
    <xf numFmtId="0" fontId="0" fillId="0" borderId="7" xfId="0" applyBorder="1" applyAlignment="1">
      <alignment horizont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textRotation="255" wrapText="1"/>
    </xf>
    <xf numFmtId="0" fontId="4" fillId="0" borderId="5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 textRotation="255" wrapText="1"/>
    </xf>
    <xf numFmtId="0" fontId="0" fillId="0" borderId="5" xfId="0" applyBorder="1" applyAlignment="1">
      <alignment horizontal="center" vertical="center" textRotation="255" wrapText="1"/>
    </xf>
    <xf numFmtId="0" fontId="0" fillId="0" borderId="9" xfId="0" applyBorder="1" applyAlignment="1">
      <alignment horizontal="center" vertical="center" textRotation="255" wrapText="1"/>
    </xf>
    <xf numFmtId="0" fontId="0" fillId="3" borderId="13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6" borderId="28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0" fillId="7" borderId="28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0" fillId="7" borderId="6" xfId="0" applyFill="1" applyBorder="1" applyAlignment="1">
      <alignment horizontal="left" wrapText="1"/>
    </xf>
    <xf numFmtId="0" fontId="0" fillId="9" borderId="28" xfId="0" applyFill="1" applyBorder="1" applyAlignment="1">
      <alignment horizontal="left" wrapText="1"/>
    </xf>
    <xf numFmtId="0" fontId="0" fillId="9" borderId="5" xfId="0" applyFill="1" applyBorder="1" applyAlignment="1">
      <alignment horizontal="left" wrapText="1"/>
    </xf>
    <xf numFmtId="0" fontId="0" fillId="9" borderId="6" xfId="0" applyFill="1" applyBorder="1" applyAlignment="1">
      <alignment horizontal="left" wrapText="1"/>
    </xf>
    <xf numFmtId="0" fontId="0" fillId="11" borderId="28" xfId="0" applyFill="1" applyBorder="1" applyAlignment="1">
      <alignment horizontal="center" wrapText="1"/>
    </xf>
    <xf numFmtId="0" fontId="0" fillId="11" borderId="5" xfId="0" applyFill="1" applyBorder="1" applyAlignment="1">
      <alignment horizontal="center" wrapText="1"/>
    </xf>
    <xf numFmtId="0" fontId="0" fillId="11" borderId="6" xfId="0" applyFill="1" applyBorder="1" applyAlignment="1">
      <alignment horizontal="center" wrapText="1"/>
    </xf>
    <xf numFmtId="0" fontId="0" fillId="12" borderId="28" xfId="0" applyFill="1" applyBorder="1" applyAlignment="1">
      <alignment horizontal="left" wrapText="1"/>
    </xf>
    <xf numFmtId="0" fontId="0" fillId="12" borderId="9" xfId="0" applyFill="1" applyBorder="1" applyAlignment="1">
      <alignment horizontal="left" wrapText="1"/>
    </xf>
    <xf numFmtId="0" fontId="0" fillId="5" borderId="8" xfId="0" applyFill="1" applyBorder="1" applyAlignment="1">
      <alignment horizontal="left" wrapText="1"/>
    </xf>
    <xf numFmtId="0" fontId="0" fillId="5" borderId="5" xfId="0" applyFill="1" applyBorder="1" applyAlignment="1">
      <alignment horizontal="left" wrapText="1"/>
    </xf>
    <xf numFmtId="0" fontId="0" fillId="5" borderId="6" xfId="0" applyFill="1" applyBorder="1" applyAlignment="1">
      <alignment horizontal="left" wrapText="1"/>
    </xf>
    <xf numFmtId="0" fontId="0" fillId="11" borderId="4" xfId="0" applyFill="1" applyBorder="1" applyAlignment="1">
      <alignment horizontal="center" wrapText="1"/>
    </xf>
    <xf numFmtId="0" fontId="0" fillId="8" borderId="5" xfId="0" applyFill="1" applyBorder="1" applyAlignment="1">
      <alignment horizontal="left" wrapText="1"/>
    </xf>
    <xf numFmtId="0" fontId="0" fillId="10" borderId="4" xfId="0" applyFill="1" applyBorder="1" applyAlignment="1">
      <alignment horizontal="left" wrapText="1"/>
    </xf>
    <xf numFmtId="0" fontId="0" fillId="11" borderId="28" xfId="0" applyFill="1" applyBorder="1" applyAlignment="1">
      <alignment horizontal="left" wrapText="1"/>
    </xf>
    <xf numFmtId="0" fontId="0" fillId="11" borderId="6" xfId="0" applyFill="1" applyBorder="1" applyAlignment="1">
      <alignment horizontal="left" wrapText="1"/>
    </xf>
    <xf numFmtId="0" fontId="0" fillId="8" borderId="28" xfId="0" applyFill="1" applyBorder="1" applyAlignment="1">
      <alignment horizontal="left" wrapText="1"/>
    </xf>
    <xf numFmtId="0" fontId="0" fillId="8" borderId="6" xfId="0" applyFill="1" applyBorder="1" applyAlignment="1">
      <alignment horizontal="left" wrapText="1"/>
    </xf>
    <xf numFmtId="0" fontId="0" fillId="6" borderId="9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12" borderId="4" xfId="0" applyFill="1" applyBorder="1" applyAlignment="1">
      <alignment horizontal="left" wrapText="1"/>
    </xf>
    <xf numFmtId="0" fontId="0" fillId="9" borderId="4" xfId="0" applyFill="1" applyBorder="1" applyAlignment="1">
      <alignment horizontal="center" wrapText="1"/>
    </xf>
    <xf numFmtId="0" fontId="0" fillId="7" borderId="4" xfId="0" applyFill="1" applyBorder="1" applyAlignment="1">
      <alignment horizontal="left" wrapText="1"/>
    </xf>
    <xf numFmtId="0" fontId="0" fillId="7" borderId="7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7"/>
      <color rgb="FFFFE5E5"/>
      <color rgb="FFF6EBE2"/>
      <color rgb="FFF9FFE1"/>
      <color rgb="FFE1FFE3"/>
      <color rgb="FFE2E1FF"/>
      <color rgb="FFEFFFFD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7" sqref="B7"/>
    </sheetView>
  </sheetViews>
  <sheetFormatPr baseColWidth="10" defaultColWidth="8.7109375" defaultRowHeight="15" x14ac:dyDescent="0.25"/>
  <cols>
    <col min="1" max="1" width="19.28515625" style="63" customWidth="1"/>
    <col min="2" max="2" width="33.85546875" style="63" customWidth="1"/>
    <col min="3" max="3" width="41.140625" style="63" customWidth="1"/>
    <col min="4" max="16384" width="8.7109375" style="63"/>
  </cols>
  <sheetData>
    <row r="1" spans="1:3" ht="28.5" x14ac:dyDescent="0.45">
      <c r="A1" s="62" t="s">
        <v>0</v>
      </c>
      <c r="C1" s="63" t="s">
        <v>1</v>
      </c>
    </row>
    <row r="3" spans="1:3" x14ac:dyDescent="0.25">
      <c r="A3" s="67" t="s">
        <v>2</v>
      </c>
      <c r="B3" s="64" t="s">
        <v>149</v>
      </c>
    </row>
    <row r="4" spans="1:3" x14ac:dyDescent="0.25">
      <c r="A4"/>
    </row>
    <row r="5" spans="1:3" x14ac:dyDescent="0.25">
      <c r="A5" s="68"/>
      <c r="B5" s="65"/>
    </row>
    <row r="6" spans="1:3" x14ac:dyDescent="0.25">
      <c r="A6" s="68" t="s">
        <v>3</v>
      </c>
      <c r="B6" s="66">
        <v>43897</v>
      </c>
      <c r="C6" s="63" t="s">
        <v>4</v>
      </c>
    </row>
    <row r="7" spans="1:3" x14ac:dyDescent="0.25">
      <c r="A7" s="68" t="s">
        <v>5</v>
      </c>
      <c r="B7" s="66">
        <v>45891</v>
      </c>
      <c r="C7" s="63" t="s">
        <v>4</v>
      </c>
    </row>
    <row r="8" spans="1:3" x14ac:dyDescent="0.25">
      <c r="A8" s="68" t="s">
        <v>6</v>
      </c>
      <c r="B8" s="95" t="str">
        <f ca="1">DATEDIF(B6, TODAY(), "Y") &amp; " años, " &amp; DATEDIF(B6, TODAY(), "YM") &amp; " meses, " &amp; DATEDIF(B6, TODAY(), "MD") &amp; " días"</f>
        <v>5 años, 5 meses, 21 días</v>
      </c>
    </row>
    <row r="9" spans="1:3" x14ac:dyDescent="0.25">
      <c r="A9" s="68" t="s">
        <v>7</v>
      </c>
      <c r="B9" s="65" t="s">
        <v>8</v>
      </c>
    </row>
    <row r="11" spans="1:3" ht="15.75" thickBot="1" x14ac:dyDescent="0.3"/>
    <row r="12" spans="1:3" x14ac:dyDescent="0.25">
      <c r="A12" s="96" t="s">
        <v>9</v>
      </c>
      <c r="B12" s="69" t="s">
        <v>10</v>
      </c>
      <c r="C12" s="4" t="str">
        <f>PUNTAJES!F5</f>
        <v>Más que la mayoría de los demás</v>
      </c>
    </row>
    <row r="13" spans="1:3" x14ac:dyDescent="0.25">
      <c r="A13" s="97"/>
      <c r="B13" s="70" t="s">
        <v>11</v>
      </c>
      <c r="C13" s="1" t="str">
        <f>PUNTAJES!G5</f>
        <v>Justo como la mayoría de los demás</v>
      </c>
    </row>
    <row r="14" spans="1:3" x14ac:dyDescent="0.25">
      <c r="A14" s="97"/>
      <c r="B14" s="70" t="s">
        <v>12</v>
      </c>
      <c r="C14" s="1" t="str">
        <f>PUNTAJES!H5</f>
        <v>Justo como la mayoría de los demás</v>
      </c>
    </row>
    <row r="15" spans="1:3" ht="15.75" thickBot="1" x14ac:dyDescent="0.3">
      <c r="A15" s="98"/>
      <c r="B15" s="71" t="s">
        <v>13</v>
      </c>
      <c r="C15" s="2" t="str">
        <f>PUNTAJES!I5</f>
        <v>Justo como la mayoría de los demás</v>
      </c>
    </row>
    <row r="16" spans="1:3" x14ac:dyDescent="0.25">
      <c r="A16" s="96" t="s">
        <v>14</v>
      </c>
      <c r="B16" s="69" t="s">
        <v>15</v>
      </c>
      <c r="C16" s="4" t="str">
        <f>PUNTAJES!J5</f>
        <v>Justo como la mayoría de los demás</v>
      </c>
    </row>
    <row r="17" spans="1:3" x14ac:dyDescent="0.25">
      <c r="A17" s="97"/>
      <c r="B17" s="70" t="s">
        <v>16</v>
      </c>
      <c r="C17" s="1" t="str">
        <f>PUNTAJES!K5</f>
        <v>Justo como la mayoría de los demás</v>
      </c>
    </row>
    <row r="18" spans="1:3" x14ac:dyDescent="0.25">
      <c r="A18" s="97"/>
      <c r="B18" s="70" t="s">
        <v>17</v>
      </c>
      <c r="C18" s="1" t="str">
        <f>PUNTAJES!L5</f>
        <v>Justo como la mayoría de los demás</v>
      </c>
    </row>
    <row r="19" spans="1:3" x14ac:dyDescent="0.25">
      <c r="A19" s="97"/>
      <c r="B19" s="70" t="s">
        <v>18</v>
      </c>
      <c r="C19" s="1" t="str">
        <f>PUNTAJES!M5</f>
        <v>Justo como la mayoría de los demás</v>
      </c>
    </row>
    <row r="20" spans="1:3" x14ac:dyDescent="0.25">
      <c r="A20" s="97"/>
      <c r="B20" s="72" t="s">
        <v>19</v>
      </c>
      <c r="C20" s="1" t="str">
        <f>PUNTAJES!N5</f>
        <v>Justo como la mayoría de los demás</v>
      </c>
    </row>
    <row r="21" spans="1:3" ht="15.75" thickBot="1" x14ac:dyDescent="0.3">
      <c r="A21" s="98"/>
      <c r="B21" s="71" t="s">
        <v>20</v>
      </c>
      <c r="C21" s="2" t="str">
        <f>PUNTAJES!O5</f>
        <v>Justo como la mayoría de los demás</v>
      </c>
    </row>
    <row r="22" spans="1:3" x14ac:dyDescent="0.25">
      <c r="A22" s="96" t="s">
        <v>21</v>
      </c>
      <c r="B22" s="69" t="s">
        <v>22</v>
      </c>
      <c r="C22" s="3" t="str">
        <f>PUNTAJES!P5</f>
        <v>Más que la mayoría de los demás</v>
      </c>
    </row>
    <row r="23" spans="1:3" x14ac:dyDescent="0.25">
      <c r="A23" s="97"/>
      <c r="B23" s="72" t="s">
        <v>23</v>
      </c>
      <c r="C23" s="1" t="str">
        <f>PUNTAJES!Q5</f>
        <v>Más que la mayoría de los demás</v>
      </c>
    </row>
    <row r="24" spans="1:3" ht="15.75" thickBot="1" x14ac:dyDescent="0.3">
      <c r="A24" s="98"/>
      <c r="B24" s="71" t="s">
        <v>24</v>
      </c>
      <c r="C24" s="2" t="str">
        <f>PUNTAJES!R5</f>
        <v>Justo como la mayoría de los demás</v>
      </c>
    </row>
    <row r="27" spans="1:3" x14ac:dyDescent="0.25">
      <c r="A27" s="61" t="s">
        <v>25</v>
      </c>
    </row>
    <row r="28" spans="1:3" x14ac:dyDescent="0.25">
      <c r="A28" s="61" t="s">
        <v>26</v>
      </c>
    </row>
  </sheetData>
  <sheetProtection algorithmName="SHA-512" hashValue="3TvadcrHGB1ODaFyJHtkyglnq7lTnEloaKRCcWfXf56ZBkpHDHU+1hlVFoMycNaaDeIUZGeKDOI0hw/KFwmlcw==" saltValue="H/WGodEmGyWR4pXWsVaJ2A==" spinCount="100000" sheet="1" objects="1" scenarios="1" selectLockedCells="1"/>
  <mergeCells count="3">
    <mergeCell ref="A12:A15"/>
    <mergeCell ref="A16:A21"/>
    <mergeCell ref="A22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B44-C91B-4314-8493-BE9B12A232EE}">
  <dimension ref="A1:AB87"/>
  <sheetViews>
    <sheetView tabSelected="1" workbookViewId="0">
      <selection activeCell="C88" sqref="C88"/>
    </sheetView>
  </sheetViews>
  <sheetFormatPr baseColWidth="10" defaultColWidth="10.85546875" defaultRowHeight="15" x14ac:dyDescent="0.25"/>
  <cols>
    <col min="1" max="5" width="10.85546875" style="63"/>
    <col min="6" max="7" width="11.140625" style="63" bestFit="1" customWidth="1"/>
    <col min="8" max="21" width="10.85546875" style="63"/>
    <col min="22" max="22" width="37.42578125" style="63" customWidth="1"/>
    <col min="23" max="24" width="10.85546875" style="63"/>
    <col min="25" max="25" width="41.5703125" style="63" customWidth="1"/>
    <col min="26" max="27" width="10.85546875" style="63"/>
    <col min="28" max="28" width="44.5703125" style="63" customWidth="1"/>
    <col min="29" max="16384" width="10.85546875" style="63"/>
  </cols>
  <sheetData>
    <row r="1" spans="1:28" ht="15.75" thickBot="1" x14ac:dyDescent="0.3">
      <c r="A1" s="90" t="s">
        <v>27</v>
      </c>
      <c r="B1" s="90" t="s">
        <v>28</v>
      </c>
      <c r="C1" s="85" t="s">
        <v>29</v>
      </c>
    </row>
    <row r="2" spans="1:28" ht="15.75" thickBot="1" x14ac:dyDescent="0.3">
      <c r="A2" s="103" t="s">
        <v>30</v>
      </c>
      <c r="B2" s="4">
        <v>1</v>
      </c>
      <c r="C2" s="86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s="99" t="s">
        <v>10</v>
      </c>
      <c r="V2" s="99"/>
      <c r="W2"/>
      <c r="X2" s="99" t="s">
        <v>15</v>
      </c>
      <c r="Y2" s="99"/>
      <c r="Z2"/>
      <c r="AA2" s="99" t="s">
        <v>22</v>
      </c>
      <c r="AB2" s="99"/>
    </row>
    <row r="3" spans="1:28" ht="30.75" thickBot="1" x14ac:dyDescent="0.3">
      <c r="A3" s="104"/>
      <c r="B3" s="1">
        <v>2</v>
      </c>
      <c r="C3" s="86">
        <v>2</v>
      </c>
      <c r="F3" s="73" t="s">
        <v>10</v>
      </c>
      <c r="G3" s="74" t="s">
        <v>11</v>
      </c>
      <c r="H3" s="74" t="s">
        <v>12</v>
      </c>
      <c r="I3" s="69" t="s">
        <v>13</v>
      </c>
      <c r="J3" s="73" t="s">
        <v>15</v>
      </c>
      <c r="K3" s="74" t="s">
        <v>16</v>
      </c>
      <c r="L3" s="74" t="s">
        <v>31</v>
      </c>
      <c r="M3" s="74" t="s">
        <v>18</v>
      </c>
      <c r="N3" s="75" t="s">
        <v>19</v>
      </c>
      <c r="O3" s="74" t="s">
        <v>20</v>
      </c>
      <c r="P3" s="74" t="s">
        <v>22</v>
      </c>
      <c r="Q3" s="75" t="s">
        <v>23</v>
      </c>
      <c r="R3" s="76" t="s">
        <v>24</v>
      </c>
      <c r="S3"/>
      <c r="T3"/>
      <c r="U3" s="89" t="s">
        <v>32</v>
      </c>
      <c r="V3" s="89" t="s">
        <v>33</v>
      </c>
      <c r="W3"/>
      <c r="X3" s="89" t="s">
        <v>32</v>
      </c>
      <c r="Y3" s="89" t="s">
        <v>33</v>
      </c>
      <c r="Z3"/>
      <c r="AA3" s="89" t="s">
        <v>32</v>
      </c>
      <c r="AB3" s="89" t="s">
        <v>33</v>
      </c>
    </row>
    <row r="4" spans="1:28" ht="30.75" thickBot="1" x14ac:dyDescent="0.3">
      <c r="A4" s="104"/>
      <c r="B4" s="1">
        <v>3</v>
      </c>
      <c r="C4" s="86">
        <v>3</v>
      </c>
      <c r="E4" s="87" t="s">
        <v>34</v>
      </c>
      <c r="F4" s="77">
        <f>SUM(C15+C22+C23+C26+C28+C29+C31+C32+C33+C42+C49+C50+C51+C52+C56+C57+C61+C83+C84)</f>
        <v>48</v>
      </c>
      <c r="G4" s="78">
        <f>C2+C3+C6+C16+C19+C59+C60+C62+C64+C65+C66+C67+C68+C69+C71+C72+C73+C75+C76+C82</f>
        <v>44</v>
      </c>
      <c r="H4" s="78">
        <f>C4+C5+C7+C8+C10+C14+C17+C20+C21+C45+C46+C47+C48+C53+C70+C74+C78+C79+C85</f>
        <v>33</v>
      </c>
      <c r="I4" s="79">
        <f>C9+C13+C24+C25+C27+C34+C35+C36+C37+C38+C39+C40+C41+C54+C55+C58+C63+C77+C80+C81+C86+C87</f>
        <v>38</v>
      </c>
      <c r="J4" s="77">
        <f>SUM(C2:C9)</f>
        <v>16</v>
      </c>
      <c r="K4" s="78">
        <f>SUM(C10:C15)</f>
        <v>9</v>
      </c>
      <c r="L4" s="78">
        <f>SUM(C17:C27)</f>
        <v>18</v>
      </c>
      <c r="M4" s="78">
        <f>SUM(C28:C35)</f>
        <v>18</v>
      </c>
      <c r="N4" s="78">
        <f>SUM(C36:C43)</f>
        <v>14</v>
      </c>
      <c r="O4" s="78">
        <f>SUM(C44:C53)</f>
        <v>20</v>
      </c>
      <c r="P4" s="78">
        <f>SUM(C54:C62)</f>
        <v>26</v>
      </c>
      <c r="Q4" s="78">
        <f>SUM(C63:C76)</f>
        <v>32</v>
      </c>
      <c r="R4" s="80">
        <f>SUM(C77:C86)</f>
        <v>17</v>
      </c>
      <c r="S4"/>
      <c r="T4"/>
      <c r="U4" s="89">
        <v>6</v>
      </c>
      <c r="V4" s="89" t="s">
        <v>35</v>
      </c>
      <c r="W4"/>
      <c r="X4" s="89">
        <v>2</v>
      </c>
      <c r="Y4" s="89" t="s">
        <v>35</v>
      </c>
      <c r="Z4"/>
      <c r="AA4" s="89">
        <v>1</v>
      </c>
      <c r="AB4" s="89" t="s">
        <v>35</v>
      </c>
    </row>
    <row r="5" spans="1:28" ht="65.45" customHeight="1" thickBot="1" x14ac:dyDescent="0.3">
      <c r="A5" s="104"/>
      <c r="B5" s="1">
        <v>4</v>
      </c>
      <c r="C5" s="86">
        <v>5</v>
      </c>
      <c r="E5" s="88" t="s">
        <v>36</v>
      </c>
      <c r="F5" s="81" t="str">
        <f>_xlfn.XLOOKUP(F4,U4:U8,V4:V8,0,1)</f>
        <v>Más que la mayoría de los demás</v>
      </c>
      <c r="G5" s="82" t="str">
        <f>_xlfn.XLOOKUP(G4,U12:U16,V12:V16,0,1)</f>
        <v>Justo como la mayoría de los demás</v>
      </c>
      <c r="H5" s="82" t="str">
        <f>_xlfn.XLOOKUP(H4,U20:U24,V20:V24,0,1)</f>
        <v>Justo como la mayoría de los demás</v>
      </c>
      <c r="I5" s="83" t="str">
        <f>_xlfn.XLOOKUP(I4,U28:U32,V28:V32,0,1)</f>
        <v>Justo como la mayoría de los demás</v>
      </c>
      <c r="J5" s="81" t="str">
        <f>_xlfn.XLOOKUP(J4,X4:X8,Y4:Y8,0,1)</f>
        <v>Justo como la mayoría de los demás</v>
      </c>
      <c r="K5" s="82" t="str">
        <f>_xlfn.XLOOKUP(K4,X12:X16,Y12:Y16,0,1)</f>
        <v>Justo como la mayoría de los demás</v>
      </c>
      <c r="L5" s="82" t="str">
        <f>_xlfn.XLOOKUP(L4,X20:X24,Y20:Y24,0,1)</f>
        <v>Justo como la mayoría de los demás</v>
      </c>
      <c r="M5" s="82" t="str">
        <f>_xlfn.XLOOKUP(M4,X28:X32,Y28:Y32,0,1)</f>
        <v>Justo como la mayoría de los demás</v>
      </c>
      <c r="N5" s="82" t="str">
        <f>_xlfn.XLOOKUP(N4,X36:X40,Y36:Y40,0,1)</f>
        <v>Justo como la mayoría de los demás</v>
      </c>
      <c r="O5" s="82" t="str">
        <f>_xlfn.XLOOKUP(O4,X45:X48,Y45:Y48,0,1)</f>
        <v>Justo como la mayoría de los demás</v>
      </c>
      <c r="P5" s="82" t="str">
        <f>_xlfn.XLOOKUP(P4,AA4:AA8,AB4:AB8,0,1)</f>
        <v>Más que la mayoría de los demás</v>
      </c>
      <c r="Q5" s="82" t="str">
        <f>_xlfn.XLOOKUP(Q4,AA12:AA16,AB12:AB16,0,1)</f>
        <v>Más que la mayoría de los demás</v>
      </c>
      <c r="R5" s="84" t="str">
        <f>_xlfn.XLOOKUP(R4,AA20:AA24,AB20:AB24,0,1)</f>
        <v>Justo como la mayoría de los demás</v>
      </c>
      <c r="S5"/>
      <c r="T5"/>
      <c r="U5" s="89">
        <v>19</v>
      </c>
      <c r="V5" s="89" t="s">
        <v>37</v>
      </c>
      <c r="W5"/>
      <c r="X5" s="89">
        <v>9</v>
      </c>
      <c r="Y5" s="89" t="s">
        <v>37</v>
      </c>
      <c r="Z5"/>
      <c r="AA5" s="89">
        <v>8</v>
      </c>
      <c r="AB5" s="89" t="s">
        <v>37</v>
      </c>
    </row>
    <row r="6" spans="1:28" ht="15.75" thickBot="1" x14ac:dyDescent="0.3">
      <c r="A6" s="104"/>
      <c r="B6" s="1">
        <v>5</v>
      </c>
      <c r="C6" s="86">
        <v>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s="89">
        <v>47</v>
      </c>
      <c r="V6" s="89" t="s">
        <v>38</v>
      </c>
      <c r="W6"/>
      <c r="X6" s="89">
        <v>24</v>
      </c>
      <c r="Y6" s="89" t="s">
        <v>38</v>
      </c>
      <c r="Z6"/>
      <c r="AA6" s="89">
        <v>22</v>
      </c>
      <c r="AB6" s="89" t="s">
        <v>38</v>
      </c>
    </row>
    <row r="7" spans="1:28" ht="15.75" thickBot="1" x14ac:dyDescent="0.3">
      <c r="A7" s="104"/>
      <c r="B7" s="1">
        <v>6</v>
      </c>
      <c r="C7" s="86">
        <v>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s="89">
        <v>60</v>
      </c>
      <c r="V7" s="89" t="s">
        <v>39</v>
      </c>
      <c r="W7"/>
      <c r="X7" s="89">
        <v>31</v>
      </c>
      <c r="Y7" s="89" t="s">
        <v>39</v>
      </c>
      <c r="Z7"/>
      <c r="AA7" s="89">
        <v>29</v>
      </c>
      <c r="AB7" s="89" t="s">
        <v>39</v>
      </c>
    </row>
    <row r="8" spans="1:28" ht="15.75" thickBot="1" x14ac:dyDescent="0.3">
      <c r="A8" s="104"/>
      <c r="B8" s="1">
        <v>7</v>
      </c>
      <c r="C8" s="86">
        <v>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s="89">
        <v>95</v>
      </c>
      <c r="V8" s="89" t="s">
        <v>40</v>
      </c>
      <c r="W8"/>
      <c r="X8" s="89">
        <v>40</v>
      </c>
      <c r="Y8" s="89" t="s">
        <v>40</v>
      </c>
      <c r="Z8"/>
      <c r="AA8" s="89">
        <v>45</v>
      </c>
      <c r="AB8" s="89" t="s">
        <v>40</v>
      </c>
    </row>
    <row r="9" spans="1:28" ht="15.75" thickBot="1" x14ac:dyDescent="0.3">
      <c r="A9" s="105"/>
      <c r="B9" s="2">
        <v>8</v>
      </c>
      <c r="C9" s="86">
        <v>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ht="15.75" thickBot="1" x14ac:dyDescent="0.3">
      <c r="A10" s="103" t="s">
        <v>41</v>
      </c>
      <c r="B10" s="4">
        <v>9</v>
      </c>
      <c r="C10" s="86">
        <v>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99" t="s">
        <v>11</v>
      </c>
      <c r="V10" s="99"/>
      <c r="W10"/>
      <c r="X10" s="99" t="s">
        <v>16</v>
      </c>
      <c r="Y10" s="99"/>
      <c r="Z10"/>
      <c r="AA10" s="99" t="s">
        <v>23</v>
      </c>
      <c r="AB10" s="99"/>
    </row>
    <row r="11" spans="1:28" ht="15.75" thickBot="1" x14ac:dyDescent="0.3">
      <c r="A11" s="104"/>
      <c r="B11" s="1">
        <v>10</v>
      </c>
      <c r="C11" s="86">
        <v>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s="89" t="s">
        <v>32</v>
      </c>
      <c r="V11" s="89" t="s">
        <v>33</v>
      </c>
      <c r="W11"/>
      <c r="X11" s="89" t="s">
        <v>32</v>
      </c>
      <c r="Y11" s="89" t="s">
        <v>33</v>
      </c>
      <c r="Z11"/>
      <c r="AA11" s="89" t="s">
        <v>32</v>
      </c>
      <c r="AB11" s="89" t="s">
        <v>33</v>
      </c>
    </row>
    <row r="12" spans="1:28" ht="15.75" thickBot="1" x14ac:dyDescent="0.3">
      <c r="A12" s="104"/>
      <c r="B12" s="1">
        <v>11</v>
      </c>
      <c r="C12" s="86">
        <v>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s="89">
        <v>7</v>
      </c>
      <c r="V12" s="89" t="s">
        <v>35</v>
      </c>
      <c r="W12"/>
      <c r="X12" s="89">
        <v>4</v>
      </c>
      <c r="Y12" s="89" t="s">
        <v>35</v>
      </c>
      <c r="Z12"/>
      <c r="AA12" s="89">
        <v>2</v>
      </c>
      <c r="AB12" s="89" t="s">
        <v>35</v>
      </c>
    </row>
    <row r="13" spans="1:28" ht="15.75" thickBot="1" x14ac:dyDescent="0.3">
      <c r="A13" s="104"/>
      <c r="B13" s="1">
        <v>12</v>
      </c>
      <c r="C13" s="86">
        <v>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s="89">
        <v>20</v>
      </c>
      <c r="V13" s="89" t="s">
        <v>37</v>
      </c>
      <c r="W13"/>
      <c r="X13" s="89">
        <v>8</v>
      </c>
      <c r="Y13" s="89" t="s">
        <v>37</v>
      </c>
      <c r="Z13"/>
      <c r="AA13" s="89">
        <v>12</v>
      </c>
      <c r="AB13" s="89" t="s">
        <v>37</v>
      </c>
    </row>
    <row r="14" spans="1:28" ht="15.75" thickBot="1" x14ac:dyDescent="0.3">
      <c r="A14" s="104"/>
      <c r="B14" s="1">
        <v>13</v>
      </c>
      <c r="C14" s="86">
        <v>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s="89">
        <v>46</v>
      </c>
      <c r="V14" s="89" t="s">
        <v>38</v>
      </c>
      <c r="W14"/>
      <c r="X14" s="89">
        <v>17</v>
      </c>
      <c r="Y14" s="89" t="s">
        <v>38</v>
      </c>
      <c r="Z14"/>
      <c r="AA14" s="89">
        <v>31</v>
      </c>
      <c r="AB14" s="89" t="s">
        <v>38</v>
      </c>
    </row>
    <row r="15" spans="1:28" ht="15.75" thickBot="1" x14ac:dyDescent="0.3">
      <c r="A15" s="104"/>
      <c r="B15" s="1">
        <v>14</v>
      </c>
      <c r="C15" s="86"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s="89">
        <v>59</v>
      </c>
      <c r="V15" s="89" t="s">
        <v>39</v>
      </c>
      <c r="W15"/>
      <c r="X15" s="89">
        <v>21</v>
      </c>
      <c r="Y15" s="89" t="s">
        <v>39</v>
      </c>
      <c r="Z15"/>
      <c r="AA15" s="89">
        <v>41</v>
      </c>
      <c r="AB15" s="89" t="s">
        <v>39</v>
      </c>
    </row>
    <row r="16" spans="1:28" ht="15.75" thickBot="1" x14ac:dyDescent="0.3">
      <c r="A16" s="105"/>
      <c r="B16" s="2">
        <v>15</v>
      </c>
      <c r="C16" s="86">
        <v>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s="89">
        <v>100</v>
      </c>
      <c r="V16" s="89" t="s">
        <v>40</v>
      </c>
      <c r="W16"/>
      <c r="X16" s="89">
        <v>30</v>
      </c>
      <c r="Y16" s="89" t="s">
        <v>40</v>
      </c>
      <c r="Z16"/>
      <c r="AA16" s="89">
        <v>70</v>
      </c>
      <c r="AB16" s="89" t="s">
        <v>40</v>
      </c>
    </row>
    <row r="17" spans="1:28" ht="14.45" customHeight="1" thickBot="1" x14ac:dyDescent="0.3">
      <c r="A17" s="106" t="s">
        <v>42</v>
      </c>
      <c r="B17" s="4">
        <v>16</v>
      </c>
      <c r="C17" s="86">
        <v>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ht="15.75" thickBot="1" x14ac:dyDescent="0.3">
      <c r="A18" s="107"/>
      <c r="B18" s="1">
        <v>17</v>
      </c>
      <c r="C18" s="86">
        <v>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s="99" t="s">
        <v>12</v>
      </c>
      <c r="V18" s="99"/>
      <c r="W18"/>
      <c r="X18" s="99" t="s">
        <v>31</v>
      </c>
      <c r="Y18" s="99"/>
      <c r="Z18"/>
      <c r="AA18" s="99" t="s">
        <v>24</v>
      </c>
      <c r="AB18" s="99"/>
    </row>
    <row r="19" spans="1:28" ht="15.75" thickBot="1" x14ac:dyDescent="0.3">
      <c r="A19" s="107"/>
      <c r="B19" s="1">
        <v>18</v>
      </c>
      <c r="C19" s="86">
        <v>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s="89" t="s">
        <v>32</v>
      </c>
      <c r="V19" s="89" t="s">
        <v>33</v>
      </c>
      <c r="W19"/>
      <c r="X19" s="89" t="s">
        <v>32</v>
      </c>
      <c r="Y19" s="89" t="s">
        <v>33</v>
      </c>
      <c r="Z19"/>
      <c r="AA19" s="89" t="s">
        <v>32</v>
      </c>
      <c r="AB19" s="89" t="s">
        <v>33</v>
      </c>
    </row>
    <row r="20" spans="1:28" ht="15.75" thickBot="1" x14ac:dyDescent="0.3">
      <c r="A20" s="107"/>
      <c r="B20" s="1">
        <v>19</v>
      </c>
      <c r="C20" s="86">
        <v>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s="89">
        <v>6</v>
      </c>
      <c r="V20" s="89" t="s">
        <v>35</v>
      </c>
      <c r="W20"/>
      <c r="X20" s="89">
        <v>0</v>
      </c>
      <c r="Y20" s="89" t="s">
        <v>35</v>
      </c>
      <c r="Z20"/>
      <c r="AA20" s="89">
        <v>0</v>
      </c>
      <c r="AB20" s="89" t="s">
        <v>35</v>
      </c>
    </row>
    <row r="21" spans="1:28" ht="15.75" thickBot="1" x14ac:dyDescent="0.3">
      <c r="A21" s="107"/>
      <c r="B21" s="1">
        <v>20</v>
      </c>
      <c r="C21" s="86">
        <v>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s="89">
        <v>17</v>
      </c>
      <c r="V21" s="89" t="s">
        <v>37</v>
      </c>
      <c r="W21"/>
      <c r="X21" s="89">
        <v>7</v>
      </c>
      <c r="Y21" s="89" t="s">
        <v>37</v>
      </c>
      <c r="Z21"/>
      <c r="AA21" s="89">
        <v>8</v>
      </c>
      <c r="AB21" s="89" t="s">
        <v>37</v>
      </c>
    </row>
    <row r="22" spans="1:28" ht="15.75" thickBot="1" x14ac:dyDescent="0.3">
      <c r="A22" s="107"/>
      <c r="B22" s="1">
        <v>21</v>
      </c>
      <c r="C22" s="86">
        <v>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89">
        <v>42</v>
      </c>
      <c r="V22" s="89" t="s">
        <v>38</v>
      </c>
      <c r="W22"/>
      <c r="X22" s="89">
        <v>21</v>
      </c>
      <c r="Y22" s="89" t="s">
        <v>38</v>
      </c>
      <c r="Z22"/>
      <c r="AA22" s="89">
        <v>24</v>
      </c>
      <c r="AB22" s="89" t="s">
        <v>38</v>
      </c>
    </row>
    <row r="23" spans="1:28" ht="15.75" thickBot="1" x14ac:dyDescent="0.3">
      <c r="A23" s="107"/>
      <c r="B23" s="1">
        <v>22</v>
      </c>
      <c r="C23" s="86">
        <v>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s="89">
        <v>53</v>
      </c>
      <c r="V23" s="89" t="s">
        <v>39</v>
      </c>
      <c r="W23"/>
      <c r="X23" s="89">
        <v>28</v>
      </c>
      <c r="Y23" s="89" t="s">
        <v>39</v>
      </c>
      <c r="Z23"/>
      <c r="AA23" s="89">
        <v>31</v>
      </c>
      <c r="AB23" s="89" t="s">
        <v>39</v>
      </c>
    </row>
    <row r="24" spans="1:28" ht="15.75" thickBot="1" x14ac:dyDescent="0.3">
      <c r="A24" s="107"/>
      <c r="B24" s="1">
        <v>23</v>
      </c>
      <c r="C24" s="86">
        <v>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89">
        <v>95</v>
      </c>
      <c r="V24" s="89" t="s">
        <v>40</v>
      </c>
      <c r="W24"/>
      <c r="X24" s="89">
        <v>55</v>
      </c>
      <c r="Y24" s="89" t="s">
        <v>40</v>
      </c>
      <c r="Z24"/>
      <c r="AA24" s="89">
        <v>50</v>
      </c>
      <c r="AB24" s="89" t="s">
        <v>40</v>
      </c>
    </row>
    <row r="25" spans="1:28" ht="15.75" thickBot="1" x14ac:dyDescent="0.3">
      <c r="A25" s="107"/>
      <c r="B25" s="1">
        <v>24</v>
      </c>
      <c r="C25" s="86">
        <v>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.75" thickBot="1" x14ac:dyDescent="0.3">
      <c r="A26" s="107"/>
      <c r="B26" s="1">
        <v>25</v>
      </c>
      <c r="C26" s="86">
        <v>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99" t="s">
        <v>13</v>
      </c>
      <c r="V26" s="99"/>
      <c r="W26"/>
      <c r="X26" s="99" t="s">
        <v>18</v>
      </c>
      <c r="Y26" s="99"/>
      <c r="Z26"/>
      <c r="AA26"/>
      <c r="AB26"/>
    </row>
    <row r="27" spans="1:28" ht="15.75" thickBot="1" x14ac:dyDescent="0.3">
      <c r="A27" s="108"/>
      <c r="B27" s="2">
        <v>26</v>
      </c>
      <c r="C27" s="86">
        <v>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s="89" t="s">
        <v>32</v>
      </c>
      <c r="V27" s="89" t="s">
        <v>33</v>
      </c>
      <c r="W27"/>
      <c r="X27" s="89" t="s">
        <v>32</v>
      </c>
      <c r="Y27" s="89" t="s">
        <v>33</v>
      </c>
      <c r="Z27"/>
      <c r="AA27"/>
      <c r="AB27"/>
    </row>
    <row r="28" spans="1:28" ht="14.45" customHeight="1" thickBot="1" x14ac:dyDescent="0.3">
      <c r="A28" s="109" t="s">
        <v>43</v>
      </c>
      <c r="B28" s="4">
        <v>27</v>
      </c>
      <c r="C28" s="86">
        <v>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s="89">
        <v>6</v>
      </c>
      <c r="V28" s="89" t="s">
        <v>35</v>
      </c>
      <c r="W28"/>
      <c r="X28" s="89">
        <v>1</v>
      </c>
      <c r="Y28" s="89" t="s">
        <v>35</v>
      </c>
      <c r="Z28"/>
      <c r="AA28"/>
      <c r="AB28"/>
    </row>
    <row r="29" spans="1:28" ht="15.75" thickBot="1" x14ac:dyDescent="0.3">
      <c r="A29" s="110"/>
      <c r="B29" s="1">
        <v>28</v>
      </c>
      <c r="C29" s="86">
        <v>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s="89">
        <v>18</v>
      </c>
      <c r="V29" s="89" t="s">
        <v>37</v>
      </c>
      <c r="W29"/>
      <c r="X29" s="89">
        <v>6</v>
      </c>
      <c r="Y29" s="89" t="s">
        <v>37</v>
      </c>
      <c r="Z29"/>
      <c r="AA29"/>
      <c r="AB29"/>
    </row>
    <row r="30" spans="1:28" ht="15.75" thickBot="1" x14ac:dyDescent="0.3">
      <c r="A30" s="110"/>
      <c r="B30" s="1">
        <v>29</v>
      </c>
      <c r="C30" s="86">
        <v>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s="89">
        <v>43</v>
      </c>
      <c r="V30" s="89" t="s">
        <v>38</v>
      </c>
      <c r="W30"/>
      <c r="X30" s="89">
        <v>18</v>
      </c>
      <c r="Y30" s="89" t="s">
        <v>38</v>
      </c>
      <c r="Z30"/>
      <c r="AA30"/>
      <c r="AB30"/>
    </row>
    <row r="31" spans="1:28" ht="15.75" thickBot="1" x14ac:dyDescent="0.3">
      <c r="A31" s="110"/>
      <c r="B31" s="1">
        <v>30</v>
      </c>
      <c r="C31" s="86">
        <v>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s="89">
        <v>55</v>
      </c>
      <c r="V31" s="89" t="s">
        <v>39</v>
      </c>
      <c r="W31"/>
      <c r="X31" s="89">
        <v>24</v>
      </c>
      <c r="Y31" s="89" t="s">
        <v>39</v>
      </c>
      <c r="Z31"/>
      <c r="AA31"/>
      <c r="AB31"/>
    </row>
    <row r="32" spans="1:28" ht="15.75" thickBot="1" x14ac:dyDescent="0.3">
      <c r="A32" s="110"/>
      <c r="B32" s="1">
        <v>31</v>
      </c>
      <c r="C32" s="86">
        <v>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s="89">
        <v>110</v>
      </c>
      <c r="V32" s="89" t="s">
        <v>40</v>
      </c>
      <c r="W32"/>
      <c r="X32" s="89">
        <v>40</v>
      </c>
      <c r="Y32" s="89" t="s">
        <v>40</v>
      </c>
      <c r="Z32"/>
      <c r="AA32"/>
      <c r="AB32"/>
    </row>
    <row r="33" spans="1:28" ht="15.75" thickBot="1" x14ac:dyDescent="0.3">
      <c r="A33" s="110"/>
      <c r="B33" s="1">
        <v>32</v>
      </c>
      <c r="C33" s="86">
        <v>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5.75" thickBot="1" x14ac:dyDescent="0.3">
      <c r="A34" s="110"/>
      <c r="B34" s="1">
        <v>33</v>
      </c>
      <c r="C34" s="86">
        <v>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s="99" t="s">
        <v>44</v>
      </c>
      <c r="Y34" s="99"/>
      <c r="Z34"/>
      <c r="AA34"/>
      <c r="AB34"/>
    </row>
    <row r="35" spans="1:28" ht="14.45" customHeight="1" thickBot="1" x14ac:dyDescent="0.3">
      <c r="A35" s="111"/>
      <c r="B35" s="2">
        <v>34</v>
      </c>
      <c r="C35" s="86">
        <v>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 s="89" t="s">
        <v>32</v>
      </c>
      <c r="Y35" s="89" t="s">
        <v>33</v>
      </c>
      <c r="Z35"/>
      <c r="AA35"/>
      <c r="AB35"/>
    </row>
    <row r="36" spans="1:28" ht="42.95" customHeight="1" thickBot="1" x14ac:dyDescent="0.3">
      <c r="A36" s="112" t="s">
        <v>45</v>
      </c>
      <c r="B36" s="4">
        <v>35</v>
      </c>
      <c r="C36" s="86">
        <v>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 s="89">
        <v>0</v>
      </c>
      <c r="Y36" s="89" t="s">
        <v>35</v>
      </c>
      <c r="Z36"/>
      <c r="AA36"/>
      <c r="AB36"/>
    </row>
    <row r="37" spans="1:28" ht="15.75" thickBot="1" x14ac:dyDescent="0.3">
      <c r="A37" s="113"/>
      <c r="B37" s="1">
        <v>36</v>
      </c>
      <c r="C37" s="86">
        <v>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 s="89">
        <v>4</v>
      </c>
      <c r="Y37" s="89" t="s">
        <v>37</v>
      </c>
      <c r="Z37"/>
      <c r="AA37"/>
      <c r="AB37"/>
    </row>
    <row r="38" spans="1:28" ht="15.75" thickBot="1" x14ac:dyDescent="0.3">
      <c r="A38" s="113"/>
      <c r="B38" s="1">
        <v>37</v>
      </c>
      <c r="C38" s="86">
        <v>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 s="89">
        <v>15</v>
      </c>
      <c r="Y38" s="89" t="s">
        <v>38</v>
      </c>
      <c r="Z38"/>
      <c r="AA38"/>
      <c r="AB38"/>
    </row>
    <row r="39" spans="1:28" ht="15.75" thickBot="1" x14ac:dyDescent="0.3">
      <c r="A39" s="113"/>
      <c r="B39" s="1">
        <v>38</v>
      </c>
      <c r="C39" s="86">
        <v>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 s="89">
        <v>19</v>
      </c>
      <c r="Y39" s="89" t="s">
        <v>39</v>
      </c>
      <c r="Z39"/>
      <c r="AA39"/>
      <c r="AB39"/>
    </row>
    <row r="40" spans="1:28" ht="15.75" thickBot="1" x14ac:dyDescent="0.3">
      <c r="A40" s="113"/>
      <c r="B40" s="1">
        <v>39</v>
      </c>
      <c r="C40" s="86">
        <v>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 s="89">
        <v>40</v>
      </c>
      <c r="Y40" s="89" t="s">
        <v>40</v>
      </c>
      <c r="Z40"/>
      <c r="AA40"/>
      <c r="AB40"/>
    </row>
    <row r="41" spans="1:28" ht="15.75" thickBot="1" x14ac:dyDescent="0.3">
      <c r="A41" s="113"/>
      <c r="B41" s="1">
        <v>40</v>
      </c>
      <c r="C41" s="86">
        <v>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5.75" thickBot="1" x14ac:dyDescent="0.3">
      <c r="A42" s="113"/>
      <c r="B42" s="1">
        <v>41</v>
      </c>
      <c r="C42" s="86">
        <v>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 s="99" t="s">
        <v>20</v>
      </c>
      <c r="Y42" s="99"/>
      <c r="Z42"/>
      <c r="AA42"/>
      <c r="AB42"/>
    </row>
    <row r="43" spans="1:28" ht="21" customHeight="1" thickBot="1" x14ac:dyDescent="0.3">
      <c r="A43" s="114"/>
      <c r="B43" s="2">
        <v>42</v>
      </c>
      <c r="C43" s="86">
        <v>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 s="89" t="s">
        <v>32</v>
      </c>
      <c r="Y43" s="89" t="s">
        <v>33</v>
      </c>
      <c r="Z43"/>
      <c r="AA43"/>
      <c r="AB43"/>
    </row>
    <row r="44" spans="1:28" ht="73.5" customHeight="1" thickBot="1" x14ac:dyDescent="0.3">
      <c r="A44" s="115" t="s">
        <v>46</v>
      </c>
      <c r="B44" s="4">
        <v>43</v>
      </c>
      <c r="C44" s="86">
        <v>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 s="89" t="s">
        <v>47</v>
      </c>
      <c r="Y44" s="89" t="s">
        <v>35</v>
      </c>
      <c r="Z44"/>
      <c r="AA44"/>
      <c r="AB44"/>
    </row>
    <row r="45" spans="1:28" ht="15.75" thickBot="1" x14ac:dyDescent="0.3">
      <c r="A45" s="116"/>
      <c r="B45" s="1">
        <v>44</v>
      </c>
      <c r="C45" s="86">
        <v>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 s="89">
        <v>7</v>
      </c>
      <c r="Y45" s="89" t="s">
        <v>37</v>
      </c>
      <c r="Z45"/>
      <c r="AA45"/>
      <c r="AB45"/>
    </row>
    <row r="46" spans="1:28" ht="15.75" thickBot="1" x14ac:dyDescent="0.3">
      <c r="A46" s="116"/>
      <c r="B46" s="1">
        <v>45</v>
      </c>
      <c r="C46" s="86">
        <v>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 s="89">
        <v>24</v>
      </c>
      <c r="Y46" s="89" t="s">
        <v>38</v>
      </c>
      <c r="Z46"/>
      <c r="AA46"/>
      <c r="AB46"/>
    </row>
    <row r="47" spans="1:28" ht="15.75" thickBot="1" x14ac:dyDescent="0.3">
      <c r="A47" s="116"/>
      <c r="B47" s="1">
        <v>46</v>
      </c>
      <c r="C47" s="86">
        <v>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 s="89">
        <v>32</v>
      </c>
      <c r="Y47" s="89" t="s">
        <v>39</v>
      </c>
      <c r="Z47"/>
      <c r="AA47"/>
      <c r="AB47"/>
    </row>
    <row r="48" spans="1:28" ht="15.75" thickBot="1" x14ac:dyDescent="0.3">
      <c r="A48" s="116"/>
      <c r="B48" s="1">
        <v>47</v>
      </c>
      <c r="C48" s="86">
        <v>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 s="89">
        <v>50</v>
      </c>
      <c r="Y48" s="89" t="s">
        <v>40</v>
      </c>
      <c r="Z48"/>
      <c r="AA48"/>
      <c r="AB48"/>
    </row>
    <row r="49" spans="1:28" ht="15.75" thickBot="1" x14ac:dyDescent="0.3">
      <c r="A49" s="116"/>
      <c r="B49" s="1">
        <v>48</v>
      </c>
      <c r="C49" s="86">
        <v>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5.75" thickBot="1" x14ac:dyDescent="0.3">
      <c r="A50" s="116"/>
      <c r="B50" s="1">
        <v>49</v>
      </c>
      <c r="C50" s="86">
        <v>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5.75" thickBot="1" x14ac:dyDescent="0.3">
      <c r="A51" s="116"/>
      <c r="B51" s="1">
        <v>50</v>
      </c>
      <c r="C51" s="86">
        <v>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5.75" thickBot="1" x14ac:dyDescent="0.3">
      <c r="A52" s="116"/>
      <c r="B52" s="1">
        <v>51</v>
      </c>
      <c r="C52" s="86">
        <v>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5.75" thickBot="1" x14ac:dyDescent="0.3">
      <c r="A53" s="117"/>
      <c r="B53" s="2">
        <v>52</v>
      </c>
      <c r="C53" s="86">
        <v>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5.75" thickBot="1" x14ac:dyDescent="0.3">
      <c r="A54" s="100" t="s">
        <v>48</v>
      </c>
      <c r="B54" s="4">
        <v>53</v>
      </c>
      <c r="C54" s="86">
        <v>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5.75" thickBot="1" x14ac:dyDescent="0.3">
      <c r="A55" s="101"/>
      <c r="B55" s="1">
        <v>54</v>
      </c>
      <c r="C55" s="86">
        <v>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5.75" thickBot="1" x14ac:dyDescent="0.3">
      <c r="A56" s="101"/>
      <c r="B56" s="1">
        <v>55</v>
      </c>
      <c r="C56" s="86">
        <v>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5.75" thickBot="1" x14ac:dyDescent="0.3">
      <c r="A57" s="101"/>
      <c r="B57" s="1">
        <v>56</v>
      </c>
      <c r="C57" s="86">
        <v>5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5.75" thickBot="1" x14ac:dyDescent="0.3">
      <c r="A58" s="101"/>
      <c r="B58" s="1">
        <v>57</v>
      </c>
      <c r="C58" s="86">
        <v>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ht="15.75" thickBot="1" x14ac:dyDescent="0.3">
      <c r="A59" s="101"/>
      <c r="B59" s="1">
        <v>58</v>
      </c>
      <c r="C59" s="86">
        <v>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ht="15.75" thickBot="1" x14ac:dyDescent="0.3">
      <c r="A60" s="101"/>
      <c r="B60" s="1">
        <v>59</v>
      </c>
      <c r="C60" s="86">
        <v>4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ht="15.75" thickBot="1" x14ac:dyDescent="0.3">
      <c r="A61" s="101"/>
      <c r="B61" s="1">
        <v>60</v>
      </c>
      <c r="C61" s="86">
        <v>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ht="15.75" thickBot="1" x14ac:dyDescent="0.3">
      <c r="A62" s="102"/>
      <c r="B62" s="2">
        <v>61</v>
      </c>
      <c r="C62" s="86">
        <v>1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ht="14.45" customHeight="1" thickBot="1" x14ac:dyDescent="0.3">
      <c r="A63" s="100" t="s">
        <v>49</v>
      </c>
      <c r="B63" s="4">
        <v>62</v>
      </c>
      <c r="C63" s="86">
        <v>1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ht="15.75" thickBot="1" x14ac:dyDescent="0.3">
      <c r="A64" s="101"/>
      <c r="B64" s="1">
        <v>63</v>
      </c>
      <c r="C64" s="86">
        <v>1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ht="15.75" thickBot="1" x14ac:dyDescent="0.3">
      <c r="A65" s="101"/>
      <c r="B65" s="1">
        <v>64</v>
      </c>
      <c r="C65" s="86">
        <v>5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ht="15.75" thickBot="1" x14ac:dyDescent="0.3">
      <c r="A66" s="101"/>
      <c r="B66" s="1">
        <v>65</v>
      </c>
      <c r="C66" s="86">
        <v>5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ht="15.75" thickBot="1" x14ac:dyDescent="0.3">
      <c r="A67" s="101"/>
      <c r="B67" s="1">
        <v>66</v>
      </c>
      <c r="C67" s="86">
        <v>2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ht="15.75" thickBot="1" x14ac:dyDescent="0.3">
      <c r="A68" s="101"/>
      <c r="B68" s="1">
        <v>67</v>
      </c>
      <c r="C68" s="86">
        <v>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ht="15.75" thickBot="1" x14ac:dyDescent="0.3">
      <c r="A69" s="101"/>
      <c r="B69" s="1">
        <v>68</v>
      </c>
      <c r="C69" s="86">
        <v>5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ht="15.75" thickBot="1" x14ac:dyDescent="0.3">
      <c r="A70" s="101"/>
      <c r="B70" s="1">
        <v>69</v>
      </c>
      <c r="C70" s="86">
        <v>1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ht="15.75" thickBot="1" x14ac:dyDescent="0.3">
      <c r="A71" s="101"/>
      <c r="B71" s="1">
        <v>70</v>
      </c>
      <c r="C71" s="86">
        <v>5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ht="15.75" thickBot="1" x14ac:dyDescent="0.3">
      <c r="A72" s="101"/>
      <c r="B72" s="1">
        <v>71</v>
      </c>
      <c r="C72" s="86">
        <v>1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ht="15.75" thickBot="1" x14ac:dyDescent="0.3">
      <c r="A73" s="101"/>
      <c r="B73" s="1">
        <v>72</v>
      </c>
      <c r="C73" s="86">
        <v>1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ht="15.75" thickBot="1" x14ac:dyDescent="0.3">
      <c r="A74" s="101"/>
      <c r="B74" s="1">
        <v>73</v>
      </c>
      <c r="C74" s="86">
        <v>1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ht="15.75" thickBot="1" x14ac:dyDescent="0.3">
      <c r="A75" s="101"/>
      <c r="B75" s="1">
        <v>74</v>
      </c>
      <c r="C75" s="86">
        <v>1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8" ht="15.75" thickBot="1" x14ac:dyDescent="0.3">
      <c r="A76" s="102"/>
      <c r="B76" s="2">
        <v>75</v>
      </c>
      <c r="C76" s="86">
        <v>1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8" ht="15.75" thickBot="1" x14ac:dyDescent="0.3">
      <c r="A77" s="100" t="s">
        <v>50</v>
      </c>
      <c r="B77" s="4">
        <v>76</v>
      </c>
      <c r="C77" s="86">
        <v>1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8" ht="15.75" thickBot="1" x14ac:dyDescent="0.3">
      <c r="A78" s="101"/>
      <c r="B78" s="1">
        <v>77</v>
      </c>
      <c r="C78" s="86">
        <v>4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ht="15.75" thickBot="1" x14ac:dyDescent="0.3">
      <c r="A79" s="101"/>
      <c r="B79" s="1">
        <v>78</v>
      </c>
      <c r="C79" s="86">
        <v>2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ht="15.75" thickBot="1" x14ac:dyDescent="0.3">
      <c r="A80" s="101"/>
      <c r="B80" s="1">
        <v>79</v>
      </c>
      <c r="C80" s="86">
        <v>1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8" ht="15.75" thickBot="1" x14ac:dyDescent="0.3">
      <c r="A81" s="101"/>
      <c r="B81" s="1">
        <v>80</v>
      </c>
      <c r="C81" s="86">
        <v>2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ht="15.75" thickBot="1" x14ac:dyDescent="0.3">
      <c r="A82" s="101"/>
      <c r="B82" s="1">
        <v>81</v>
      </c>
      <c r="C82" s="86">
        <v>1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ht="15.75" thickBot="1" x14ac:dyDescent="0.3">
      <c r="A83" s="101"/>
      <c r="B83" s="1">
        <v>82</v>
      </c>
      <c r="C83" s="86">
        <v>2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ht="15.75" thickBot="1" x14ac:dyDescent="0.3">
      <c r="A84" s="101"/>
      <c r="B84" s="1">
        <v>83</v>
      </c>
      <c r="C84" s="86">
        <v>1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ht="15.75" thickBot="1" x14ac:dyDescent="0.3">
      <c r="A85" s="101"/>
      <c r="B85" s="1">
        <v>84</v>
      </c>
      <c r="C85" s="86">
        <v>1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5.75" thickBot="1" x14ac:dyDescent="0.3">
      <c r="A86" s="101"/>
      <c r="B86" s="1">
        <v>85</v>
      </c>
      <c r="C86" s="86">
        <v>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8" ht="15.75" thickBot="1" x14ac:dyDescent="0.3">
      <c r="A87" s="102"/>
      <c r="B87" s="2">
        <v>86</v>
      </c>
      <c r="C87" s="86">
        <v>1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</sheetData>
  <sheetProtection algorithmName="SHA-512" hashValue="eLEfzk6Bs3xZUk6yGBuSC8g/PHN/IA+P8Mq0UCyfUrEL4PyEnTYikEVrxhj6TIOeYa+MuKJgkJImMtryXYgDtw==" saltValue="RCF0zdYfIwdbKhzZrFaM1w==" spinCount="100000" sheet="1" objects="1" scenarios="1" selectLockedCells="1"/>
  <mergeCells count="22">
    <mergeCell ref="AA2:AB2"/>
    <mergeCell ref="AA10:AB10"/>
    <mergeCell ref="AA18:AB18"/>
    <mergeCell ref="X2:Y2"/>
    <mergeCell ref="X10:Y10"/>
    <mergeCell ref="X18:Y18"/>
    <mergeCell ref="X26:Y26"/>
    <mergeCell ref="X34:Y34"/>
    <mergeCell ref="X42:Y42"/>
    <mergeCell ref="A77:A87"/>
    <mergeCell ref="A28:A35"/>
    <mergeCell ref="A36:A43"/>
    <mergeCell ref="A44:A53"/>
    <mergeCell ref="A63:A76"/>
    <mergeCell ref="U2:V2"/>
    <mergeCell ref="U10:V10"/>
    <mergeCell ref="U18:V18"/>
    <mergeCell ref="U26:V26"/>
    <mergeCell ref="A54:A62"/>
    <mergeCell ref="A2:A9"/>
    <mergeCell ref="A10:A16"/>
    <mergeCell ref="A17:A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8501-7381-4B8A-BD29-CB98EFC9E852}">
  <dimension ref="A1:D94"/>
  <sheetViews>
    <sheetView topLeftCell="A5" workbookViewId="0">
      <selection activeCell="C6" sqref="C6"/>
    </sheetView>
  </sheetViews>
  <sheetFormatPr baseColWidth="10" defaultColWidth="11.42578125" defaultRowHeight="15" x14ac:dyDescent="0.25"/>
  <cols>
    <col min="2" max="2" width="26.42578125" style="91" customWidth="1"/>
    <col min="3" max="3" width="65" customWidth="1"/>
    <col min="4" max="4" width="17.140625" customWidth="1"/>
  </cols>
  <sheetData>
    <row r="1" spans="1:4" ht="15.75" thickBot="1" x14ac:dyDescent="0.3"/>
    <row r="2" spans="1:4" ht="15.75" thickBot="1" x14ac:dyDescent="0.3">
      <c r="A2" s="118" t="s">
        <v>51</v>
      </c>
      <c r="B2" s="119"/>
      <c r="C2" s="119"/>
      <c r="D2" s="120"/>
    </row>
    <row r="3" spans="1:4" ht="15.75" thickBot="1" x14ac:dyDescent="0.3">
      <c r="A3" s="8" t="s">
        <v>52</v>
      </c>
      <c r="B3" s="92" t="s">
        <v>53</v>
      </c>
      <c r="C3" s="9" t="s">
        <v>54</v>
      </c>
      <c r="D3" s="8" t="s">
        <v>34</v>
      </c>
    </row>
    <row r="4" spans="1:4" x14ac:dyDescent="0.25">
      <c r="A4" s="5">
        <v>14</v>
      </c>
      <c r="B4" s="25" t="s">
        <v>55</v>
      </c>
      <c r="C4" s="6" t="s">
        <v>56</v>
      </c>
      <c r="D4" s="3">
        <f>PUNTAJES!C15</f>
        <v>1</v>
      </c>
    </row>
    <row r="5" spans="1:4" x14ac:dyDescent="0.25">
      <c r="A5" s="10">
        <v>21</v>
      </c>
      <c r="B5" s="121" t="s">
        <v>57</v>
      </c>
      <c r="C5" s="7" t="s">
        <v>58</v>
      </c>
      <c r="D5" s="1">
        <f>PUNTAJES!C22</f>
        <v>1</v>
      </c>
    </row>
    <row r="6" spans="1:4" ht="30" x14ac:dyDescent="0.25">
      <c r="A6" s="10">
        <v>22</v>
      </c>
      <c r="B6" s="122"/>
      <c r="C6" s="7" t="s">
        <v>59</v>
      </c>
      <c r="D6" s="1">
        <f>PUNTAJES!C23</f>
        <v>3</v>
      </c>
    </row>
    <row r="7" spans="1:4" x14ac:dyDescent="0.25">
      <c r="A7" s="10">
        <v>25</v>
      </c>
      <c r="B7" s="123"/>
      <c r="C7" s="7" t="s">
        <v>60</v>
      </c>
      <c r="D7" s="1">
        <f>PUNTAJES!C26</f>
        <v>1</v>
      </c>
    </row>
    <row r="8" spans="1:4" ht="45" x14ac:dyDescent="0.25">
      <c r="A8" s="11">
        <v>27</v>
      </c>
      <c r="B8" s="124" t="s">
        <v>61</v>
      </c>
      <c r="C8" s="12" t="s">
        <v>62</v>
      </c>
      <c r="D8" s="1">
        <f>PUNTAJES!C28</f>
        <v>1</v>
      </c>
    </row>
    <row r="9" spans="1:4" x14ac:dyDescent="0.25">
      <c r="A9" s="11">
        <v>28</v>
      </c>
      <c r="B9" s="125"/>
      <c r="C9" s="12" t="s">
        <v>63</v>
      </c>
      <c r="D9" s="1">
        <f>PUNTAJES!C29</f>
        <v>2</v>
      </c>
    </row>
    <row r="10" spans="1:4" x14ac:dyDescent="0.25">
      <c r="A10" s="11">
        <v>30</v>
      </c>
      <c r="B10" s="125"/>
      <c r="C10" s="12" t="s">
        <v>64</v>
      </c>
      <c r="D10" s="1">
        <f>PUNTAJES!C31</f>
        <v>5</v>
      </c>
    </row>
    <row r="11" spans="1:4" x14ac:dyDescent="0.25">
      <c r="A11" s="11">
        <v>31</v>
      </c>
      <c r="B11" s="125"/>
      <c r="C11" s="12" t="s">
        <v>65</v>
      </c>
      <c r="D11" s="1">
        <f>PUNTAJES!C32</f>
        <v>5</v>
      </c>
    </row>
    <row r="12" spans="1:4" ht="30" x14ac:dyDescent="0.25">
      <c r="A12" s="11">
        <v>32</v>
      </c>
      <c r="B12" s="126"/>
      <c r="C12" s="12" t="s">
        <v>66</v>
      </c>
      <c r="D12" s="1">
        <f>PUNTAJES!C33</f>
        <v>1</v>
      </c>
    </row>
    <row r="13" spans="1:4" ht="30" x14ac:dyDescent="0.25">
      <c r="A13" s="13">
        <v>41</v>
      </c>
      <c r="B13" s="39" t="s">
        <v>67</v>
      </c>
      <c r="C13" s="14" t="s">
        <v>68</v>
      </c>
      <c r="D13" s="1">
        <f>PUNTAJES!C42</f>
        <v>1</v>
      </c>
    </row>
    <row r="14" spans="1:4" x14ac:dyDescent="0.25">
      <c r="A14" s="15">
        <v>48</v>
      </c>
      <c r="B14" s="127" t="s">
        <v>69</v>
      </c>
      <c r="C14" s="16" t="s">
        <v>70</v>
      </c>
      <c r="D14" s="1">
        <f>PUNTAJES!C49</f>
        <v>1</v>
      </c>
    </row>
    <row r="15" spans="1:4" x14ac:dyDescent="0.25">
      <c r="A15" s="15">
        <v>49</v>
      </c>
      <c r="B15" s="128"/>
      <c r="C15" s="16" t="s">
        <v>71</v>
      </c>
      <c r="D15" s="1">
        <f>PUNTAJES!C50</f>
        <v>2</v>
      </c>
    </row>
    <row r="16" spans="1:4" x14ac:dyDescent="0.25">
      <c r="A16" s="15">
        <v>50</v>
      </c>
      <c r="B16" s="128"/>
      <c r="C16" s="16" t="s">
        <v>72</v>
      </c>
      <c r="D16" s="1">
        <f>PUNTAJES!C51</f>
        <v>4</v>
      </c>
    </row>
    <row r="17" spans="1:4" x14ac:dyDescent="0.25">
      <c r="A17" s="15">
        <v>51</v>
      </c>
      <c r="B17" s="129"/>
      <c r="C17" s="16" t="s">
        <v>73</v>
      </c>
      <c r="D17" s="1">
        <f>PUNTAJES!C52</f>
        <v>5</v>
      </c>
    </row>
    <row r="18" spans="1:4" ht="30" x14ac:dyDescent="0.25">
      <c r="A18" s="18">
        <v>55</v>
      </c>
      <c r="B18" s="130" t="s">
        <v>74</v>
      </c>
      <c r="C18" s="19" t="s">
        <v>75</v>
      </c>
      <c r="D18" s="1">
        <f>PUNTAJES!C56</f>
        <v>5</v>
      </c>
    </row>
    <row r="19" spans="1:4" x14ac:dyDescent="0.25">
      <c r="A19" s="18">
        <v>56</v>
      </c>
      <c r="B19" s="131"/>
      <c r="C19" s="19" t="s">
        <v>76</v>
      </c>
      <c r="D19" s="1">
        <f>PUNTAJES!C57</f>
        <v>5</v>
      </c>
    </row>
    <row r="20" spans="1:4" x14ac:dyDescent="0.25">
      <c r="A20" s="18">
        <v>60</v>
      </c>
      <c r="B20" s="132"/>
      <c r="C20" s="19" t="s">
        <v>77</v>
      </c>
      <c r="D20" s="1">
        <f>PUNTAJES!C61</f>
        <v>2</v>
      </c>
    </row>
    <row r="21" spans="1:4" ht="30" x14ac:dyDescent="0.25">
      <c r="A21" s="20">
        <v>82</v>
      </c>
      <c r="B21" s="133" t="s">
        <v>78</v>
      </c>
      <c r="C21" s="21" t="s">
        <v>79</v>
      </c>
      <c r="D21" s="1">
        <f>PUNTAJES!C83</f>
        <v>2</v>
      </c>
    </row>
    <row r="22" spans="1:4" ht="15.75" thickBot="1" x14ac:dyDescent="0.3">
      <c r="A22" s="22">
        <v>83</v>
      </c>
      <c r="B22" s="134"/>
      <c r="C22" s="23" t="s">
        <v>80</v>
      </c>
      <c r="D22" s="2">
        <f>PUNTAJES!C84</f>
        <v>1</v>
      </c>
    </row>
    <row r="23" spans="1:4" ht="15.75" thickBot="1" x14ac:dyDescent="0.3"/>
    <row r="24" spans="1:4" ht="15.75" thickBot="1" x14ac:dyDescent="0.3">
      <c r="A24" s="118" t="s">
        <v>81</v>
      </c>
      <c r="B24" s="119"/>
      <c r="C24" s="119"/>
      <c r="D24" s="120"/>
    </row>
    <row r="25" spans="1:4" ht="15.75" thickBot="1" x14ac:dyDescent="0.3">
      <c r="A25" s="29" t="s">
        <v>52</v>
      </c>
      <c r="B25" s="92" t="s">
        <v>53</v>
      </c>
      <c r="C25" s="9" t="s">
        <v>54</v>
      </c>
      <c r="D25" s="8" t="s">
        <v>34</v>
      </c>
    </row>
    <row r="26" spans="1:4" ht="30" x14ac:dyDescent="0.25">
      <c r="A26" s="41">
        <v>1</v>
      </c>
      <c r="B26" s="135" t="s">
        <v>82</v>
      </c>
      <c r="C26" s="34" t="s">
        <v>83</v>
      </c>
      <c r="D26" s="4">
        <f>PUNTAJES!C2</f>
        <v>1</v>
      </c>
    </row>
    <row r="27" spans="1:4" x14ac:dyDescent="0.25">
      <c r="A27" s="24">
        <v>2</v>
      </c>
      <c r="B27" s="136"/>
      <c r="C27" s="35" t="s">
        <v>84</v>
      </c>
      <c r="D27" s="1">
        <f>PUNTAJES!C3</f>
        <v>2</v>
      </c>
    </row>
    <row r="28" spans="1:4" ht="30" x14ac:dyDescent="0.25">
      <c r="A28" s="24">
        <v>5</v>
      </c>
      <c r="B28" s="137"/>
      <c r="C28" s="35" t="s">
        <v>85</v>
      </c>
      <c r="D28" s="1">
        <f>PUNTAJES!C6</f>
        <v>1</v>
      </c>
    </row>
    <row r="29" spans="1:4" ht="30" x14ac:dyDescent="0.25">
      <c r="A29" s="10">
        <v>15</v>
      </c>
      <c r="B29" s="93" t="s">
        <v>86</v>
      </c>
      <c r="C29" s="36" t="s">
        <v>87</v>
      </c>
      <c r="D29" s="1">
        <f>PUNTAJES!C16</f>
        <v>1</v>
      </c>
    </row>
    <row r="30" spans="1:4" x14ac:dyDescent="0.25">
      <c r="A30" s="11">
        <v>18</v>
      </c>
      <c r="B30" s="94" t="s">
        <v>57</v>
      </c>
      <c r="C30" s="37" t="s">
        <v>88</v>
      </c>
      <c r="D30" s="1">
        <f>PUNTAJES!C19</f>
        <v>1</v>
      </c>
    </row>
    <row r="31" spans="1:4" x14ac:dyDescent="0.25">
      <c r="A31" s="18">
        <v>58</v>
      </c>
      <c r="B31" s="138" t="s">
        <v>74</v>
      </c>
      <c r="C31" s="38" t="s">
        <v>89</v>
      </c>
      <c r="D31" s="1">
        <f>PUNTAJES!C59</f>
        <v>3</v>
      </c>
    </row>
    <row r="32" spans="1:4" x14ac:dyDescent="0.25">
      <c r="A32" s="18">
        <v>59</v>
      </c>
      <c r="B32" s="138"/>
      <c r="C32" s="38" t="s">
        <v>90</v>
      </c>
      <c r="D32" s="1">
        <f>PUNTAJES!C60</f>
        <v>4</v>
      </c>
    </row>
    <row r="33" spans="1:4" x14ac:dyDescent="0.25">
      <c r="A33" s="18">
        <v>61</v>
      </c>
      <c r="B33" s="138"/>
      <c r="C33" s="38" t="s">
        <v>91</v>
      </c>
      <c r="D33" s="1">
        <f>PUNTAJES!C62</f>
        <v>1</v>
      </c>
    </row>
    <row r="34" spans="1:4" ht="29.1" customHeight="1" x14ac:dyDescent="0.25">
      <c r="A34" s="13">
        <v>63</v>
      </c>
      <c r="B34" s="139" t="s">
        <v>92</v>
      </c>
      <c r="C34" s="39" t="s">
        <v>93</v>
      </c>
      <c r="D34" s="1">
        <f>PUNTAJES!C64</f>
        <v>1</v>
      </c>
    </row>
    <row r="35" spans="1:4" x14ac:dyDescent="0.25">
      <c r="A35" s="13">
        <v>64</v>
      </c>
      <c r="B35" s="139"/>
      <c r="C35" s="39" t="s">
        <v>94</v>
      </c>
      <c r="D35" s="1">
        <f>PUNTAJES!C65</f>
        <v>5</v>
      </c>
    </row>
    <row r="36" spans="1:4" x14ac:dyDescent="0.25">
      <c r="A36" s="13">
        <v>65</v>
      </c>
      <c r="B36" s="139"/>
      <c r="C36" s="39" t="s">
        <v>95</v>
      </c>
      <c r="D36" s="1">
        <f>PUNTAJES!C66</f>
        <v>5</v>
      </c>
    </row>
    <row r="37" spans="1:4" x14ac:dyDescent="0.25">
      <c r="A37" s="13">
        <v>66</v>
      </c>
      <c r="B37" s="139"/>
      <c r="C37" s="39" t="s">
        <v>96</v>
      </c>
      <c r="D37" s="1">
        <f>PUNTAJES!C67</f>
        <v>2</v>
      </c>
    </row>
    <row r="38" spans="1:4" x14ac:dyDescent="0.25">
      <c r="A38" s="13">
        <v>67</v>
      </c>
      <c r="B38" s="139"/>
      <c r="C38" s="39" t="s">
        <v>97</v>
      </c>
      <c r="D38" s="1">
        <f>PUNTAJES!C68</f>
        <v>2</v>
      </c>
    </row>
    <row r="39" spans="1:4" ht="30" x14ac:dyDescent="0.25">
      <c r="A39" s="13">
        <v>68</v>
      </c>
      <c r="B39" s="139"/>
      <c r="C39" s="39" t="s">
        <v>98</v>
      </c>
      <c r="D39" s="1">
        <f>PUNTAJES!C69</f>
        <v>5</v>
      </c>
    </row>
    <row r="40" spans="1:4" x14ac:dyDescent="0.25">
      <c r="A40" s="13">
        <v>70</v>
      </c>
      <c r="B40" s="139"/>
      <c r="C40" s="39" t="s">
        <v>99</v>
      </c>
      <c r="D40" s="1">
        <f>PUNTAJES!C71</f>
        <v>5</v>
      </c>
    </row>
    <row r="41" spans="1:4" x14ac:dyDescent="0.25">
      <c r="A41" s="13">
        <v>71</v>
      </c>
      <c r="B41" s="139"/>
      <c r="C41" s="39" t="s">
        <v>100</v>
      </c>
      <c r="D41" s="1">
        <f>PUNTAJES!C72</f>
        <v>1</v>
      </c>
    </row>
    <row r="42" spans="1:4" x14ac:dyDescent="0.25">
      <c r="A42" s="13">
        <v>72</v>
      </c>
      <c r="B42" s="139"/>
      <c r="C42" s="39" t="s">
        <v>101</v>
      </c>
      <c r="D42" s="1">
        <f>PUNTAJES!C73</f>
        <v>1</v>
      </c>
    </row>
    <row r="43" spans="1:4" ht="14.45" customHeight="1" x14ac:dyDescent="0.25">
      <c r="A43" s="13">
        <v>74</v>
      </c>
      <c r="B43" s="139"/>
      <c r="C43" s="39" t="s">
        <v>102</v>
      </c>
      <c r="D43" s="1">
        <f>PUNTAJES!C75</f>
        <v>1</v>
      </c>
    </row>
    <row r="44" spans="1:4" ht="30" x14ac:dyDescent="0.25">
      <c r="A44" s="27">
        <v>75</v>
      </c>
      <c r="B44" s="139"/>
      <c r="C44" s="40" t="s">
        <v>103</v>
      </c>
      <c r="D44" s="28">
        <f>PUNTAJES!C76</f>
        <v>1</v>
      </c>
    </row>
    <row r="45" spans="1:4" ht="30.95" customHeight="1" thickBot="1" x14ac:dyDescent="0.3">
      <c r="A45" s="42">
        <v>81</v>
      </c>
      <c r="B45" s="33" t="s">
        <v>78</v>
      </c>
      <c r="C45" s="33" t="s">
        <v>104</v>
      </c>
      <c r="D45" s="2">
        <f>PUNTAJES!C82</f>
        <v>1</v>
      </c>
    </row>
    <row r="47" spans="1:4" ht="15.75" thickBot="1" x14ac:dyDescent="0.3"/>
    <row r="48" spans="1:4" ht="15.75" thickBot="1" x14ac:dyDescent="0.3">
      <c r="A48" s="118" t="s">
        <v>105</v>
      </c>
      <c r="B48" s="119"/>
      <c r="C48" s="119"/>
      <c r="D48" s="120"/>
    </row>
    <row r="49" spans="1:4" ht="15.75" thickBot="1" x14ac:dyDescent="0.3">
      <c r="A49" s="29" t="s">
        <v>52</v>
      </c>
      <c r="B49" s="92" t="s">
        <v>53</v>
      </c>
      <c r="C49" s="9" t="s">
        <v>54</v>
      </c>
      <c r="D49" s="8" t="s">
        <v>34</v>
      </c>
    </row>
    <row r="50" spans="1:4" ht="30" x14ac:dyDescent="0.25">
      <c r="A50" s="44">
        <v>3</v>
      </c>
      <c r="B50" s="135" t="s">
        <v>82</v>
      </c>
      <c r="C50" s="45" t="s">
        <v>106</v>
      </c>
      <c r="D50" s="4">
        <f>PUNTAJES!C4</f>
        <v>3</v>
      </c>
    </row>
    <row r="51" spans="1:4" x14ac:dyDescent="0.25">
      <c r="A51" s="30">
        <v>4</v>
      </c>
      <c r="B51" s="136"/>
      <c r="C51" s="46" t="s">
        <v>107</v>
      </c>
      <c r="D51" s="1">
        <f>PUNTAJES!C5</f>
        <v>5</v>
      </c>
    </row>
    <row r="52" spans="1:4" x14ac:dyDescent="0.25">
      <c r="A52" s="30">
        <v>6</v>
      </c>
      <c r="B52" s="136"/>
      <c r="C52" s="46" t="s">
        <v>108</v>
      </c>
      <c r="D52" s="1">
        <f>PUNTAJES!C7</f>
        <v>2</v>
      </c>
    </row>
    <row r="53" spans="1:4" ht="30" x14ac:dyDescent="0.25">
      <c r="A53" s="30">
        <v>7</v>
      </c>
      <c r="B53" s="137"/>
      <c r="C53" s="46" t="s">
        <v>109</v>
      </c>
      <c r="D53" s="1">
        <f>PUNTAJES!C8</f>
        <v>1</v>
      </c>
    </row>
    <row r="54" spans="1:4" x14ac:dyDescent="0.25">
      <c r="A54" s="26">
        <v>9</v>
      </c>
      <c r="B54" s="141" t="s">
        <v>55</v>
      </c>
      <c r="C54" s="48" t="s">
        <v>110</v>
      </c>
      <c r="D54" s="1">
        <f>PUNTAJES!C10</f>
        <v>1</v>
      </c>
    </row>
    <row r="55" spans="1:4" ht="30" x14ac:dyDescent="0.25">
      <c r="A55" s="26">
        <v>13</v>
      </c>
      <c r="B55" s="142"/>
      <c r="C55" s="48" t="s">
        <v>111</v>
      </c>
      <c r="D55" s="1">
        <f>PUNTAJES!C14</f>
        <v>1</v>
      </c>
    </row>
    <row r="56" spans="1:4" ht="30" x14ac:dyDescent="0.25">
      <c r="A56" s="32">
        <v>16</v>
      </c>
      <c r="B56" s="143" t="s">
        <v>57</v>
      </c>
      <c r="C56" s="43" t="s">
        <v>112</v>
      </c>
      <c r="D56" s="1">
        <f>PUNTAJES!C17</f>
        <v>2</v>
      </c>
    </row>
    <row r="57" spans="1:4" ht="30" x14ac:dyDescent="0.25">
      <c r="A57" s="32">
        <v>19</v>
      </c>
      <c r="B57" s="139"/>
      <c r="C57" s="43" t="s">
        <v>113</v>
      </c>
      <c r="D57" s="1">
        <f>PUNTAJES!C20</f>
        <v>1</v>
      </c>
    </row>
    <row r="58" spans="1:4" ht="33" customHeight="1" x14ac:dyDescent="0.25">
      <c r="A58" s="32">
        <v>20</v>
      </c>
      <c r="B58" s="144"/>
      <c r="C58" s="49" t="s">
        <v>114</v>
      </c>
      <c r="D58" s="1">
        <f>PUNTAJES!C21</f>
        <v>1</v>
      </c>
    </row>
    <row r="59" spans="1:4" ht="30" x14ac:dyDescent="0.25">
      <c r="A59" s="52">
        <v>44</v>
      </c>
      <c r="B59" s="127" t="s">
        <v>115</v>
      </c>
      <c r="C59" s="53" t="s">
        <v>116</v>
      </c>
      <c r="D59" s="1">
        <f>PUNTAJES!C45</f>
        <v>1</v>
      </c>
    </row>
    <row r="60" spans="1:4" x14ac:dyDescent="0.25">
      <c r="A60" s="52">
        <v>45</v>
      </c>
      <c r="B60" s="128"/>
      <c r="C60" s="53" t="s">
        <v>117</v>
      </c>
      <c r="D60" s="1">
        <f>PUNTAJES!C46</f>
        <v>1</v>
      </c>
    </row>
    <row r="61" spans="1:4" x14ac:dyDescent="0.25">
      <c r="A61" s="52">
        <v>46</v>
      </c>
      <c r="B61" s="128"/>
      <c r="C61" s="53" t="s">
        <v>118</v>
      </c>
      <c r="D61" s="1">
        <f>PUNTAJES!C47</f>
        <v>2</v>
      </c>
    </row>
    <row r="62" spans="1:4" ht="30" x14ac:dyDescent="0.25">
      <c r="A62" s="52">
        <v>47</v>
      </c>
      <c r="B62" s="128"/>
      <c r="C62" s="53" t="s">
        <v>119</v>
      </c>
      <c r="D62" s="1">
        <f>PUNTAJES!C48</f>
        <v>1</v>
      </c>
    </row>
    <row r="63" spans="1:4" ht="30" x14ac:dyDescent="0.25">
      <c r="A63" s="52">
        <v>52</v>
      </c>
      <c r="B63" s="128"/>
      <c r="C63" s="53" t="s">
        <v>120</v>
      </c>
      <c r="D63" s="1">
        <f>PUNTAJES!C53</f>
        <v>2</v>
      </c>
    </row>
    <row r="64" spans="1:4" ht="29.1" customHeight="1" x14ac:dyDescent="0.25">
      <c r="A64" s="54">
        <v>69</v>
      </c>
      <c r="B64" s="140" t="s">
        <v>92</v>
      </c>
      <c r="C64" s="55" t="s">
        <v>121</v>
      </c>
      <c r="D64" s="1">
        <f>PUNTAJES!C70</f>
        <v>1</v>
      </c>
    </row>
    <row r="65" spans="1:4" ht="30" x14ac:dyDescent="0.25">
      <c r="A65" s="54">
        <v>73</v>
      </c>
      <c r="B65" s="140"/>
      <c r="C65" s="55" t="s">
        <v>122</v>
      </c>
      <c r="D65" s="1">
        <f>PUNTAJES!C74</f>
        <v>1</v>
      </c>
    </row>
    <row r="66" spans="1:4" ht="29.1" customHeight="1" x14ac:dyDescent="0.25">
      <c r="A66" s="31">
        <v>77</v>
      </c>
      <c r="B66" s="121" t="s">
        <v>78</v>
      </c>
      <c r="C66" s="47" t="s">
        <v>123</v>
      </c>
      <c r="D66" s="1">
        <f>PUNTAJES!C78</f>
        <v>4</v>
      </c>
    </row>
    <row r="67" spans="1:4" ht="30" x14ac:dyDescent="0.25">
      <c r="A67" s="31">
        <v>78</v>
      </c>
      <c r="B67" s="122"/>
      <c r="C67" s="47" t="s">
        <v>124</v>
      </c>
      <c r="D67" s="1">
        <f>PUNTAJES!C79</f>
        <v>2</v>
      </c>
    </row>
    <row r="68" spans="1:4" ht="15.75" thickBot="1" x14ac:dyDescent="0.3">
      <c r="A68" s="50">
        <v>84</v>
      </c>
      <c r="B68" s="145"/>
      <c r="C68" s="51" t="s">
        <v>125</v>
      </c>
      <c r="D68" s="2">
        <f>PUNTAJES!C85</f>
        <v>1</v>
      </c>
    </row>
    <row r="70" spans="1:4" ht="15.75" thickBot="1" x14ac:dyDescent="0.3"/>
    <row r="71" spans="1:4" ht="15.75" thickBot="1" x14ac:dyDescent="0.3">
      <c r="A71" s="118" t="s">
        <v>126</v>
      </c>
      <c r="B71" s="119"/>
      <c r="C71" s="119"/>
      <c r="D71" s="120"/>
    </row>
    <row r="72" spans="1:4" ht="15.75" thickBot="1" x14ac:dyDescent="0.3">
      <c r="A72" s="8" t="s">
        <v>52</v>
      </c>
      <c r="B72" s="92" t="s">
        <v>53</v>
      </c>
      <c r="C72" s="8" t="s">
        <v>54</v>
      </c>
      <c r="D72" s="8" t="s">
        <v>34</v>
      </c>
    </row>
    <row r="73" spans="1:4" x14ac:dyDescent="0.25">
      <c r="A73" s="5">
        <v>8</v>
      </c>
      <c r="B73" s="25" t="s">
        <v>82</v>
      </c>
      <c r="C73" s="25" t="s">
        <v>127</v>
      </c>
      <c r="D73" s="3">
        <f>PUNTAJES!C9</f>
        <v>1</v>
      </c>
    </row>
    <row r="74" spans="1:4" ht="30" x14ac:dyDescent="0.25">
      <c r="A74" s="18">
        <v>12</v>
      </c>
      <c r="B74" s="38" t="s">
        <v>55</v>
      </c>
      <c r="C74" s="38" t="s">
        <v>128</v>
      </c>
      <c r="D74" s="1">
        <f>PUNTAJES!C13</f>
        <v>1</v>
      </c>
    </row>
    <row r="75" spans="1:4" x14ac:dyDescent="0.25">
      <c r="A75" s="13">
        <v>23</v>
      </c>
      <c r="B75" s="146" t="s">
        <v>57</v>
      </c>
      <c r="C75" s="39" t="s">
        <v>129</v>
      </c>
      <c r="D75" s="1">
        <f>PUNTAJES!C24</f>
        <v>1</v>
      </c>
    </row>
    <row r="76" spans="1:4" x14ac:dyDescent="0.25">
      <c r="A76" s="13">
        <v>24</v>
      </c>
      <c r="B76" s="146"/>
      <c r="C76" s="39" t="s">
        <v>130</v>
      </c>
      <c r="D76" s="1">
        <f>PUNTAJES!C25</f>
        <v>5</v>
      </c>
    </row>
    <row r="77" spans="1:4" x14ac:dyDescent="0.25">
      <c r="A77" s="13">
        <v>26</v>
      </c>
      <c r="B77" s="146"/>
      <c r="C77" s="39" t="s">
        <v>131</v>
      </c>
      <c r="D77" s="1">
        <f>PUNTAJES!C27</f>
        <v>1</v>
      </c>
    </row>
    <row r="78" spans="1:4" ht="30" x14ac:dyDescent="0.25">
      <c r="A78" s="17">
        <v>33</v>
      </c>
      <c r="B78" s="140" t="s">
        <v>61</v>
      </c>
      <c r="C78" s="56" t="s">
        <v>132</v>
      </c>
      <c r="D78" s="1">
        <f>PUNTAJES!C34</f>
        <v>2</v>
      </c>
    </row>
    <row r="79" spans="1:4" ht="30" x14ac:dyDescent="0.25">
      <c r="A79" s="17">
        <v>34</v>
      </c>
      <c r="B79" s="140"/>
      <c r="C79" s="56" t="s">
        <v>133</v>
      </c>
      <c r="D79" s="1">
        <f>PUNTAJES!C35</f>
        <v>1</v>
      </c>
    </row>
    <row r="80" spans="1:4" x14ac:dyDescent="0.25">
      <c r="A80" s="20">
        <v>35</v>
      </c>
      <c r="B80" s="147" t="s">
        <v>67</v>
      </c>
      <c r="C80" s="58" t="s">
        <v>134</v>
      </c>
      <c r="D80" s="1">
        <f>PUNTAJES!C36</f>
        <v>1</v>
      </c>
    </row>
    <row r="81" spans="1:4" ht="30" x14ac:dyDescent="0.25">
      <c r="A81" s="20">
        <v>36</v>
      </c>
      <c r="B81" s="147"/>
      <c r="C81" s="58" t="s">
        <v>135</v>
      </c>
      <c r="D81" s="1">
        <f>PUNTAJES!C37</f>
        <v>2</v>
      </c>
    </row>
    <row r="82" spans="1:4" x14ac:dyDescent="0.25">
      <c r="A82" s="20">
        <v>37</v>
      </c>
      <c r="B82" s="147"/>
      <c r="C82" s="58" t="s">
        <v>136</v>
      </c>
      <c r="D82" s="1">
        <f>PUNTAJES!C38</f>
        <v>5</v>
      </c>
    </row>
    <row r="83" spans="1:4" ht="30" x14ac:dyDescent="0.25">
      <c r="A83" s="20">
        <v>38</v>
      </c>
      <c r="B83" s="147"/>
      <c r="C83" s="58" t="s">
        <v>137</v>
      </c>
      <c r="D83" s="1">
        <f>PUNTAJES!C39</f>
        <v>1</v>
      </c>
    </row>
    <row r="84" spans="1:4" ht="30" x14ac:dyDescent="0.25">
      <c r="A84" s="20">
        <v>39</v>
      </c>
      <c r="B84" s="147"/>
      <c r="C84" s="58" t="s">
        <v>138</v>
      </c>
      <c r="D84" s="1">
        <f>PUNTAJES!C40</f>
        <v>2</v>
      </c>
    </row>
    <row r="85" spans="1:4" x14ac:dyDescent="0.25">
      <c r="A85" s="20">
        <v>40</v>
      </c>
      <c r="B85" s="147"/>
      <c r="C85" s="58" t="s">
        <v>139</v>
      </c>
      <c r="D85" s="1">
        <f>PUNTAJES!C41</f>
        <v>1</v>
      </c>
    </row>
    <row r="86" spans="1:4" x14ac:dyDescent="0.25">
      <c r="A86" s="15">
        <v>53</v>
      </c>
      <c r="B86" s="148" t="s">
        <v>74</v>
      </c>
      <c r="C86" s="59" t="s">
        <v>140</v>
      </c>
      <c r="D86" s="1">
        <f>PUNTAJES!C54</f>
        <v>1</v>
      </c>
    </row>
    <row r="87" spans="1:4" ht="14.45" customHeight="1" x14ac:dyDescent="0.25">
      <c r="A87" s="15">
        <v>54</v>
      </c>
      <c r="B87" s="148"/>
      <c r="C87" s="59" t="s">
        <v>141</v>
      </c>
      <c r="D87" s="1">
        <f>PUNTAJES!C55</f>
        <v>3</v>
      </c>
    </row>
    <row r="88" spans="1:4" ht="30" x14ac:dyDescent="0.25">
      <c r="A88" s="15">
        <v>57</v>
      </c>
      <c r="B88" s="148"/>
      <c r="C88" s="59" t="s">
        <v>142</v>
      </c>
      <c r="D88" s="1">
        <f>PUNTAJES!C58</f>
        <v>2</v>
      </c>
    </row>
    <row r="89" spans="1:4" ht="32.1" customHeight="1" x14ac:dyDescent="0.25">
      <c r="A89" s="10">
        <v>62</v>
      </c>
      <c r="B89" s="36" t="s">
        <v>92</v>
      </c>
      <c r="C89" s="36" t="s">
        <v>143</v>
      </c>
      <c r="D89" s="1">
        <f>PUNTAJES!C63</f>
        <v>1</v>
      </c>
    </row>
    <row r="90" spans="1:4" ht="30" x14ac:dyDescent="0.25">
      <c r="A90" s="11">
        <v>76</v>
      </c>
      <c r="B90" s="149" t="s">
        <v>78</v>
      </c>
      <c r="C90" s="37" t="s">
        <v>144</v>
      </c>
      <c r="D90" s="1">
        <f>PUNTAJES!C77</f>
        <v>1</v>
      </c>
    </row>
    <row r="91" spans="1:4" ht="30" x14ac:dyDescent="0.25">
      <c r="A91" s="11">
        <v>79</v>
      </c>
      <c r="B91" s="149"/>
      <c r="C91" s="37" t="s">
        <v>145</v>
      </c>
      <c r="D91" s="1">
        <f>PUNTAJES!C80</f>
        <v>1</v>
      </c>
    </row>
    <row r="92" spans="1:4" x14ac:dyDescent="0.25">
      <c r="A92" s="11">
        <v>80</v>
      </c>
      <c r="B92" s="149"/>
      <c r="C92" s="37" t="s">
        <v>146</v>
      </c>
      <c r="D92" s="1">
        <f>PUNTAJES!C81</f>
        <v>2</v>
      </c>
    </row>
    <row r="93" spans="1:4" ht="45" x14ac:dyDescent="0.25">
      <c r="A93" s="11">
        <v>85</v>
      </c>
      <c r="B93" s="149"/>
      <c r="C93" s="37" t="s">
        <v>147</v>
      </c>
      <c r="D93" s="1">
        <f>PUNTAJES!C86</f>
        <v>2</v>
      </c>
    </row>
    <row r="94" spans="1:4" ht="15.75" thickBot="1" x14ac:dyDescent="0.3">
      <c r="A94" s="57">
        <v>86</v>
      </c>
      <c r="B94" s="150"/>
      <c r="C94" s="60" t="s">
        <v>148</v>
      </c>
      <c r="D94" s="2">
        <f>PUNTAJES!C87</f>
        <v>1</v>
      </c>
    </row>
  </sheetData>
  <sheetProtection algorithmName="SHA-512" hashValue="eZ+6l9HTgLIhjwG7EDoaqDpjQ1EHhkxr5gKcOFlt9Af+mAVLYp6fhd74G7a0GRI5MAYTxb5cIfytObtB3ZoGbw==" saltValue="g/U8pLk9T2Qzhz2xCejdpw==" spinCount="100000" sheet="1" objects="1" scenarios="1" selectLockedCells="1"/>
  <mergeCells count="23">
    <mergeCell ref="B75:B77"/>
    <mergeCell ref="B78:B79"/>
    <mergeCell ref="B80:B85"/>
    <mergeCell ref="B86:B88"/>
    <mergeCell ref="B90:B94"/>
    <mergeCell ref="A71:D71"/>
    <mergeCell ref="B59:B63"/>
    <mergeCell ref="B64:B65"/>
    <mergeCell ref="B50:B53"/>
    <mergeCell ref="B54:B55"/>
    <mergeCell ref="B56:B58"/>
    <mergeCell ref="B66:B68"/>
    <mergeCell ref="B21:B22"/>
    <mergeCell ref="B26:B28"/>
    <mergeCell ref="B31:B33"/>
    <mergeCell ref="B34:B44"/>
    <mergeCell ref="A48:D48"/>
    <mergeCell ref="A24:D24"/>
    <mergeCell ref="A2:D2"/>
    <mergeCell ref="B5:B7"/>
    <mergeCell ref="B8:B12"/>
    <mergeCell ref="B14:B17"/>
    <mergeCell ref="B18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RESUMEN</vt:lpstr>
      <vt:lpstr>PUNTAJES</vt:lpstr>
      <vt:lpstr>RESUMEN POR CUADRANTE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Terapia Ocupacional</dc:creator>
  <cp:keywords/>
  <dc:description/>
  <cp:lastModifiedBy>Carolina  Tirado Vidal</cp:lastModifiedBy>
  <cp:revision/>
  <dcterms:created xsi:type="dcterms:W3CDTF">2015-06-05T18:19:34Z</dcterms:created>
  <dcterms:modified xsi:type="dcterms:W3CDTF">2025-08-28T19:19:49Z</dcterms:modified>
  <cp:category/>
  <cp:contentStatus/>
</cp:coreProperties>
</file>